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3664\Documents\"/>
    </mc:Choice>
  </mc:AlternateContent>
  <xr:revisionPtr revIDLastSave="0" documentId="8_{6D17B735-5EAF-45A9-9011-72BB5AF0E5BD}" xr6:coauthVersionLast="47" xr6:coauthVersionMax="47" xr10:uidLastSave="{00000000-0000-0000-0000-000000000000}"/>
  <bookViews>
    <workbookView xWindow="-98" yWindow="-98" windowWidth="21795" windowHeight="13695" xr2:uid="{00000000-000D-0000-FFFF-FFFF00000000}"/>
  </bookViews>
  <sheets>
    <sheet name="1_Selection_Justification" sheetId="1" r:id="rId1"/>
    <sheet name="2_Calculs_Interpretation" sheetId="2" r:id="rId2"/>
    <sheet name="3_Sources_Documentation" sheetId="4" r:id="rId3"/>
    <sheet name="Benchmarking" sheetId="11" r:id="rId4"/>
    <sheet name="Multiple Valuation" sheetId="3" r:id="rId5"/>
    <sheet name="Income Statement" sheetId="8" r:id="rId6"/>
    <sheet name="Balance Sheet" sheetId="9" r:id="rId7"/>
    <sheet name="Cash Flow" sheetId="10" r:id="rId8"/>
    <sheet name="Discounted Cash Flow" sheetId="6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3" l="1"/>
  <c r="C8" i="3"/>
  <c r="B8" i="3"/>
  <c r="E48" i="6"/>
  <c r="I39" i="6"/>
  <c r="I40" i="6"/>
  <c r="I41" i="6" s="1"/>
  <c r="K17" i="6"/>
  <c r="L17" i="6"/>
  <c r="M17" i="6"/>
  <c r="N17" i="6"/>
  <c r="J17" i="6"/>
  <c r="R14" i="6"/>
  <c r="T14" i="6"/>
  <c r="X15" i="6"/>
  <c r="Z15" i="6"/>
  <c r="AA15" i="6"/>
  <c r="J11" i="6"/>
  <c r="K11" i="6"/>
  <c r="L11" i="6"/>
  <c r="M11" i="6"/>
  <c r="N11" i="6"/>
  <c r="B20" i="6"/>
  <c r="B21" i="6" s="1"/>
  <c r="C20" i="6"/>
  <c r="C21" i="6" s="1"/>
  <c r="D20" i="6"/>
  <c r="D21" i="6" s="1"/>
  <c r="E20" i="6"/>
  <c r="F20" i="6"/>
  <c r="G20" i="6"/>
  <c r="E21" i="6"/>
  <c r="F21" i="6"/>
  <c r="G21" i="6"/>
  <c r="B18" i="6"/>
  <c r="C18" i="6"/>
  <c r="D18" i="6"/>
  <c r="E18" i="6"/>
  <c r="F18" i="6"/>
  <c r="G18" i="6"/>
  <c r="B15" i="6"/>
  <c r="C15" i="6"/>
  <c r="D15" i="6"/>
  <c r="E15" i="6"/>
  <c r="F15" i="6"/>
  <c r="G15" i="6"/>
  <c r="B12" i="6"/>
  <c r="C12" i="6"/>
  <c r="D12" i="6"/>
  <c r="E12" i="6"/>
  <c r="F12" i="6"/>
  <c r="G12" i="6"/>
  <c r="B9" i="6"/>
  <c r="C9" i="6"/>
  <c r="D9" i="6"/>
  <c r="E9" i="6"/>
  <c r="F9" i="6"/>
  <c r="G9" i="6"/>
  <c r="C6" i="6"/>
  <c r="D6" i="6"/>
  <c r="E6" i="6"/>
  <c r="F6" i="6"/>
  <c r="G6" i="6"/>
  <c r="T15" i="6" l="1"/>
  <c r="V15" i="6"/>
  <c r="B23" i="6"/>
  <c r="B26" i="6" s="1"/>
  <c r="C23" i="6"/>
  <c r="C26" i="6" s="1"/>
  <c r="D23" i="6"/>
  <c r="D26" i="6" s="1"/>
  <c r="E23" i="6"/>
  <c r="E26" i="6" s="1"/>
  <c r="F23" i="6"/>
  <c r="F26" i="6" s="1"/>
  <c r="G23" i="6"/>
  <c r="G26" i="6" s="1"/>
  <c r="B27" i="6" l="1"/>
  <c r="B34" i="6"/>
  <c r="C27" i="6"/>
  <c r="C34" i="6"/>
  <c r="D27" i="6"/>
  <c r="D34" i="6"/>
  <c r="E27" i="6"/>
  <c r="E34" i="6"/>
  <c r="F27" i="6"/>
  <c r="F28" i="6" s="1"/>
  <c r="F34" i="6"/>
  <c r="G27" i="6"/>
  <c r="G28" i="6" s="1"/>
  <c r="G34" i="6"/>
  <c r="C28" i="6" l="1"/>
  <c r="C39" i="6"/>
  <c r="C35" i="6"/>
  <c r="E28" i="6"/>
  <c r="D28" i="6"/>
  <c r="D39" i="6"/>
  <c r="D35" i="6"/>
  <c r="E39" i="6"/>
  <c r="E40" i="6" s="1"/>
  <c r="E35" i="6"/>
  <c r="F39" i="6"/>
  <c r="F40" i="6" s="1"/>
  <c r="F35" i="6"/>
  <c r="G39" i="6"/>
  <c r="G35" i="6"/>
  <c r="D40" i="6" l="1"/>
  <c r="I44" i="6"/>
  <c r="G44" i="6" s="1"/>
  <c r="C48" i="6" s="1"/>
  <c r="G48" i="6" s="1"/>
  <c r="G40" i="6"/>
</calcChain>
</file>

<file path=xl/sharedStrings.xml><?xml version="1.0" encoding="utf-8"?>
<sst xmlns="http://schemas.openxmlformats.org/spreadsheetml/2006/main" count="320" uniqueCount="294">
  <si>
    <t>Catégorie</t>
  </si>
  <si>
    <t>Liquidity</t>
  </si>
  <si>
    <t>Current Ratio</t>
  </si>
  <si>
    <t>Solvency</t>
  </si>
  <si>
    <t>Total Debt-to-Equity</t>
  </si>
  <si>
    <t>Profitability</t>
  </si>
  <si>
    <t>Net Profit Margin</t>
  </si>
  <si>
    <t>Efficiency</t>
  </si>
  <si>
    <t>Asset Turnover</t>
  </si>
  <si>
    <t>Indicateur (en $ Mds)</t>
  </si>
  <si>
    <t>2021</t>
  </si>
  <si>
    <t>2022</t>
  </si>
  <si>
    <t>2023</t>
  </si>
  <si>
    <t>2024</t>
  </si>
  <si>
    <t>2025 (Est.)</t>
  </si>
  <si>
    <t>Revenue</t>
  </si>
  <si>
    <t>Net Income</t>
  </si>
  <si>
    <t>Net Profit Margin (%)</t>
  </si>
  <si>
    <t>Debt-to-Equity (x)</t>
  </si>
  <si>
    <t>Ratio</t>
  </si>
  <si>
    <t>Apple (AAPL)</t>
  </si>
  <si>
    <t>Microsoft (MSFT)</t>
  </si>
  <si>
    <t>Samsung (SMSN)</t>
  </si>
  <si>
    <t>Return on Equity (ROE %)</t>
  </si>
  <si>
    <t>Pertinence</t>
  </si>
  <si>
    <t>Apple Investor Relations</t>
  </si>
  <si>
    <t>investor.apple.com</t>
  </si>
  <si>
    <t>SEC EDGAR</t>
  </si>
  <si>
    <t>sec.gov/edgar/apple</t>
  </si>
  <si>
    <t>Morningstar</t>
  </si>
  <si>
    <t>morningstar.com</t>
  </si>
  <si>
    <t>Nasdaq Consensus</t>
  </si>
  <si>
    <t>Morgan Stanley Research</t>
  </si>
  <si>
    <t>Accès Interne MS</t>
  </si>
  <si>
    <t>Measures the ability to cover current liabilities within a complex supply chain.</t>
  </si>
  <si>
    <t>Critical for analyzing the impact of the share buyback strategy.</t>
  </si>
  <si>
    <t>An indicator of the ability to convert the Services ecosystem into net profit.</t>
  </si>
  <si>
    <t>Reflects the efficiency of the asset-light business model and optimized inventory management.</t>
  </si>
  <si>
    <t>Services-led growth.</t>
  </si>
  <si>
    <t>Record-breaking earnings in 2025.</t>
  </si>
  <si>
    <t>Highly optimized, just-in-time cash management.</t>
  </si>
  <si>
    <t>Margin expansion driven by favorable product mix.</t>
  </si>
  <si>
    <t>High leverage utilized to fund shareholder capital returns.</t>
  </si>
  <si>
    <t>Above-benchmark operational efficiency.</t>
  </si>
  <si>
    <t>Apple maintains a more aggressive liquidity stance compared to MSFT.</t>
  </si>
  <si>
    <t>MSFT leads in profit margins, while Apple remains dominant in hardware.</t>
  </si>
  <si>
    <t>Apple is best-in-class at generating revenue per dollar of assets.</t>
  </si>
  <si>
    <t>Apple’s ROE is significantly driven by its capital structure and buyback programs.</t>
  </si>
  <si>
    <t>Official primary source.</t>
  </si>
  <si>
    <t>Audited legal and regulatory validation.</t>
  </si>
  <si>
    <t>Standardized metrics for peer-to-peer comparison.</t>
  </si>
  <si>
    <t>Core dataset for forward-looking projections.</t>
  </si>
  <si>
    <t>Market intelligence and industry-specific context.</t>
  </si>
  <si>
    <t>What is find in</t>
  </si>
  <si>
    <t>Sources</t>
  </si>
  <si>
    <t>Links</t>
  </si>
  <si>
    <t>Comparative analysis</t>
  </si>
  <si>
    <t>Interpretation</t>
  </si>
  <si>
    <t>Key ratio selected</t>
  </si>
  <si>
    <t>Annual (10-K) and quarterly reports</t>
  </si>
  <si>
    <t>Audited legal and regulatory filings submitted to the SEC.</t>
  </si>
  <si>
    <t>5-10 year historical financial ratios</t>
  </si>
  <si>
    <t>Earnings and revenue forecasts (Consensus).</t>
  </si>
  <si>
    <t>Qualitative analyses and strategic notes.</t>
  </si>
  <si>
    <t>(USD in millions)</t>
  </si>
  <si>
    <t>Projections</t>
  </si>
  <si>
    <t>% Growth</t>
  </si>
  <si>
    <t>% of Revenue</t>
  </si>
  <si>
    <t>Tax rate</t>
  </si>
  <si>
    <t>Net profit</t>
  </si>
  <si>
    <t>% Margin</t>
  </si>
  <si>
    <t>(Cost of goods sold)</t>
  </si>
  <si>
    <t>(Selling, G&amp;A expenses)</t>
  </si>
  <si>
    <t>(Research &amp; Development)</t>
  </si>
  <si>
    <t>(Net interest &amp; other expenses)</t>
  </si>
  <si>
    <t>(Tax expense)</t>
  </si>
  <si>
    <t>EBT</t>
  </si>
  <si>
    <t>Capex</t>
  </si>
  <si>
    <t>Total</t>
  </si>
  <si>
    <t>D&amp;A For CAPEX in</t>
  </si>
  <si>
    <t>(USD in millions except days)</t>
  </si>
  <si>
    <t>Historical Avg</t>
  </si>
  <si>
    <t>Days receivables</t>
  </si>
  <si>
    <t>Trade receivables</t>
  </si>
  <si>
    <t>Days payables</t>
  </si>
  <si>
    <t>Trade payables</t>
  </si>
  <si>
    <t>Days inventory</t>
  </si>
  <si>
    <t>Inventory</t>
  </si>
  <si>
    <t>Net working capital</t>
  </si>
  <si>
    <t>Change in NWC</t>
  </si>
  <si>
    <t>FUTURE CASH FLOW CALCULATION</t>
  </si>
  <si>
    <t>WACC</t>
  </si>
  <si>
    <t>KCP*(C/D+C) + KD(1-IS) * D/(D+C)</t>
  </si>
  <si>
    <t>KCP</t>
  </si>
  <si>
    <t>Rf + Bêta * (Rm - Rf)</t>
  </si>
  <si>
    <t xml:space="preserve">[6,9% ; 9,5%] </t>
  </si>
  <si>
    <t>KCP mean</t>
  </si>
  <si>
    <t>IS</t>
  </si>
  <si>
    <t>KD</t>
  </si>
  <si>
    <t>C</t>
  </si>
  <si>
    <t>D</t>
  </si>
  <si>
    <t>Capital Weight</t>
  </si>
  <si>
    <t>Debt Weight</t>
  </si>
  <si>
    <t>FUTURE CASH FLOW CALCULATION Actualised</t>
  </si>
  <si>
    <t>-</t>
  </si>
  <si>
    <t>KCP intervalle</t>
  </si>
  <si>
    <t>TERMINAL VALUE</t>
  </si>
  <si>
    <t>g intervalle</t>
  </si>
  <si>
    <t xml:space="preserve">[3% ; 5%] </t>
  </si>
  <si>
    <t>EV</t>
  </si>
  <si>
    <t>EQTV</t>
  </si>
  <si>
    <t>ENTERPRISE VALUE &amp; EQUITY VALUE &amp; SHARE VALUE</t>
  </si>
  <si>
    <t>SV</t>
  </si>
  <si>
    <t>Terminal Value Adjusted</t>
  </si>
  <si>
    <t>Tax Effect Of Unusual Items</t>
  </si>
  <si>
    <t>Tax Rate For Calcs</t>
  </si>
  <si>
    <t>Normalized EBITDA</t>
  </si>
  <si>
    <t>Net Income From Continuing Operation Net Minority Interest</t>
  </si>
  <si>
    <t>Reconciled Depreciation</t>
  </si>
  <si>
    <t>Reconciled Cost Of Revenue</t>
  </si>
  <si>
    <t>EBITDA</t>
  </si>
  <si>
    <t>EBIT</t>
  </si>
  <si>
    <t>Net Interest Income</t>
  </si>
  <si>
    <t>Interest Expense</t>
  </si>
  <si>
    <t>Interest Income</t>
  </si>
  <si>
    <t>Normalized Income</t>
  </si>
  <si>
    <t>Net Income From Continuing And Discontinued Operation</t>
  </si>
  <si>
    <t>Total Expenses</t>
  </si>
  <si>
    <t>Total Operating Income As Reported</t>
  </si>
  <si>
    <t>Diluted Average Shares</t>
  </si>
  <si>
    <t>Basic Average Shares</t>
  </si>
  <si>
    <t>Diluted EPS</t>
  </si>
  <si>
    <t>Basic EPS</t>
  </si>
  <si>
    <t>Diluted NI Availto Com Stockholders</t>
  </si>
  <si>
    <t>Net Income Common Stockholders</t>
  </si>
  <si>
    <t>Net Income Including Noncontrolling Interests</t>
  </si>
  <si>
    <t>Net Income Continuous Operations</t>
  </si>
  <si>
    <t>Tax Provision</t>
  </si>
  <si>
    <t>Pretax Income</t>
  </si>
  <si>
    <t>Other Income Expense</t>
  </si>
  <si>
    <t>Other Non Operating Income Expenses</t>
  </si>
  <si>
    <t>Net Non Operating Interest Income Expense</t>
  </si>
  <si>
    <t>Interest Expense Non Operating</t>
  </si>
  <si>
    <t>Interest Income Non Operating</t>
  </si>
  <si>
    <t>Operating Income</t>
  </si>
  <si>
    <t>Operating Expense</t>
  </si>
  <si>
    <t>Research And Development</t>
  </si>
  <si>
    <t>Selling General And Administration</t>
  </si>
  <si>
    <t>Gross Profit</t>
  </si>
  <si>
    <t>Cost Of Revenue</t>
  </si>
  <si>
    <t>Total Revenue</t>
  </si>
  <si>
    <t>Operating Revenue</t>
  </si>
  <si>
    <t>Treasury Shares Number</t>
  </si>
  <si>
    <t>Ordinary Shares Number</t>
  </si>
  <si>
    <t>Share Issued</t>
  </si>
  <si>
    <t>Net Debt</t>
  </si>
  <si>
    <t>Total Debt</t>
  </si>
  <si>
    <t>Tangible Book Value</t>
  </si>
  <si>
    <t>Invested Capital</t>
  </si>
  <si>
    <t>Working Capital</t>
  </si>
  <si>
    <t>Net Tangible Assets</t>
  </si>
  <si>
    <t>Capital Lease Obligations</t>
  </si>
  <si>
    <t>Common Stock Equity</t>
  </si>
  <si>
    <t>Total Capitalization</t>
  </si>
  <si>
    <t>Total Equity Gross Minority Interest</t>
  </si>
  <si>
    <t>Stockholders Equity</t>
  </si>
  <si>
    <t>Gains Losses Not Affecting Retained Earnings</t>
  </si>
  <si>
    <t>Other Equity Adjustments</t>
  </si>
  <si>
    <t>Retained Earnings</t>
  </si>
  <si>
    <t>Capital Stock</t>
  </si>
  <si>
    <t>Common Stock</t>
  </si>
  <si>
    <t>Total Liabilities Net Minority Interest</t>
  </si>
  <si>
    <t>Total Non Current Liabilities Net Minority Interest</t>
  </si>
  <si>
    <t>Other Non Current Liabilities</t>
  </si>
  <si>
    <t>Tradeand Other Payables Non Current</t>
  </si>
  <si>
    <t>Long Term Debt And Capital Lease Obligation</t>
  </si>
  <si>
    <t>Long Term Capital Lease Obligation</t>
  </si>
  <si>
    <t>Long Term Debt</t>
  </si>
  <si>
    <t>Current Liabilities</t>
  </si>
  <si>
    <t>Other Current Liabilities</t>
  </si>
  <si>
    <t>Current Deferred Liabilities</t>
  </si>
  <si>
    <t>Current Deferred Revenue</t>
  </si>
  <si>
    <t>Current Debt And Capital Lease Obligation</t>
  </si>
  <si>
    <t>Current Capital Lease Obligation</t>
  </si>
  <si>
    <t>Current Debt</t>
  </si>
  <si>
    <t>Other Current Borrowings</t>
  </si>
  <si>
    <t>Commercial Paper</t>
  </si>
  <si>
    <t>Payables And Accrued Expenses</t>
  </si>
  <si>
    <t>Current Accrued Expenses</t>
  </si>
  <si>
    <t>Payables</t>
  </si>
  <si>
    <t>Total Tax Payable</t>
  </si>
  <si>
    <t>Income Tax Payable</t>
  </si>
  <si>
    <t>Accounts Payable</t>
  </si>
  <si>
    <t>Total Assets</t>
  </si>
  <si>
    <t>Total Non Current Assets</t>
  </si>
  <si>
    <t>Other Non Current Assets</t>
  </si>
  <si>
    <t>Non Current Deferred Assets</t>
  </si>
  <si>
    <t>Non Current Deferred Taxes Assets</t>
  </si>
  <si>
    <t>Investments And Advances</t>
  </si>
  <si>
    <t>Other Investments</t>
  </si>
  <si>
    <t>Investmentin Financial Assets</t>
  </si>
  <si>
    <t>Available For Sale Securities</t>
  </si>
  <si>
    <t>Net PPE</t>
  </si>
  <si>
    <t>Accumulated Depreciation</t>
  </si>
  <si>
    <t>Gross PPE</t>
  </si>
  <si>
    <t>Leases</t>
  </si>
  <si>
    <t>Other Properties</t>
  </si>
  <si>
    <t>Machinery Furniture Equipment</t>
  </si>
  <si>
    <t>Land And Improvements</t>
  </si>
  <si>
    <t>Properties</t>
  </si>
  <si>
    <t>Current Assets</t>
  </si>
  <si>
    <t>Other Current Assets</t>
  </si>
  <si>
    <t>Receivables</t>
  </si>
  <si>
    <t>Other Receivables</t>
  </si>
  <si>
    <t>Accounts Receivable</t>
  </si>
  <si>
    <t>Cash Cash Equivalents And Short Term Investments</t>
  </si>
  <si>
    <t>Other Short Term Investments</t>
  </si>
  <si>
    <t>Cash And Cash Equivalents</t>
  </si>
  <si>
    <t>Cash Equivalents</t>
  </si>
  <si>
    <t>Cash Financial</t>
  </si>
  <si>
    <t>Free Cash Flow</t>
  </si>
  <si>
    <t>Repurchase Of Capital Stock</t>
  </si>
  <si>
    <t>Repayment Of Debt</t>
  </si>
  <si>
    <t>Issuance Of Debt</t>
  </si>
  <si>
    <t>Issuance Of Capital Stock</t>
  </si>
  <si>
    <t>Capital Expenditure</t>
  </si>
  <si>
    <t>Interest Paid Supplemental Data</t>
  </si>
  <si>
    <t>Income Tax Paid Supplemental Data</t>
  </si>
  <si>
    <t>End Cash Position</t>
  </si>
  <si>
    <t>Beginning Cash Position</t>
  </si>
  <si>
    <t>Changes In Cash</t>
  </si>
  <si>
    <t>Financing Cash Flow</t>
  </si>
  <si>
    <t>Cash Flow From Continuing Financing Activities</t>
  </si>
  <si>
    <t>Net Other Financing Charges</t>
  </si>
  <si>
    <t>Cash Dividends Paid</t>
  </si>
  <si>
    <t>Common Stock Dividend Paid</t>
  </si>
  <si>
    <t>Net Common Stock Issuance</t>
  </si>
  <si>
    <t>Common Stock Payments</t>
  </si>
  <si>
    <t>Common Stock Issuance</t>
  </si>
  <si>
    <t>Net Issuance Payments Of Debt</t>
  </si>
  <si>
    <t>Net Short Term Debt Issuance</t>
  </si>
  <si>
    <t>Net Long Term Debt Issuance</t>
  </si>
  <si>
    <t>Long Term Debt Payments</t>
  </si>
  <si>
    <t>Long Term Debt Issuance</t>
  </si>
  <si>
    <t>Investing Cash Flow</t>
  </si>
  <si>
    <t>Cash Flow From Continuing Investing Activities</t>
  </si>
  <si>
    <t>Net Other Investing Changes</t>
  </si>
  <si>
    <t>Net Investment Purchase And Sale</t>
  </si>
  <si>
    <t>Sale Of Investment</t>
  </si>
  <si>
    <t>Purchase Of Investment</t>
  </si>
  <si>
    <t>Net Business Purchase And Sale</t>
  </si>
  <si>
    <t>Purchase Of Business</t>
  </si>
  <si>
    <t>Net PPE Purchase And Sale</t>
  </si>
  <si>
    <t>Purchase Of PPE</t>
  </si>
  <si>
    <t>Operating Cash Flow</t>
  </si>
  <si>
    <t>Cash Flow From Continuing Operating Activities</t>
  </si>
  <si>
    <t>Change In Working Capital</t>
  </si>
  <si>
    <t>Change In Other Working Capital</t>
  </si>
  <si>
    <t>Change In Other Current Liabilities</t>
  </si>
  <si>
    <t>Change In Other Current Assets</t>
  </si>
  <si>
    <t>Change In Payables And Accrued Expense</t>
  </si>
  <si>
    <t>Change In Payable</t>
  </si>
  <si>
    <t>Change In Account Payable</t>
  </si>
  <si>
    <t>Change In Inventory</t>
  </si>
  <si>
    <t>Change In Receivables</t>
  </si>
  <si>
    <t>Changes In Account Receivables</t>
  </si>
  <si>
    <t>Other Non Cash Items</t>
  </si>
  <si>
    <t>Stock Based Compensation</t>
  </si>
  <si>
    <t>Deferred Tax</t>
  </si>
  <si>
    <t>Deferred Income Tax</t>
  </si>
  <si>
    <t>Depreciation Amortization Depletion</t>
  </si>
  <si>
    <t>Depreciation And Amortization</t>
  </si>
  <si>
    <t>Net Income From Continuing Operations</t>
  </si>
  <si>
    <t>3Financial_Statements_Nasdaq</t>
  </si>
  <si>
    <t>Conclusion : Apple is overestimated by aprox. 11%.</t>
  </si>
  <si>
    <t>MARKET MULTIPLES BENCHMARKING (MARCH 2026)</t>
  </si>
  <si>
    <t>Ticker</t>
  </si>
  <si>
    <t>P/E Ratio</t>
  </si>
  <si>
    <t>EV/EBITDA</t>
  </si>
  <si>
    <t>EV/Revenue</t>
  </si>
  <si>
    <t>AAPL</t>
  </si>
  <si>
    <t>MSFT</t>
  </si>
  <si>
    <t>GOOGL</t>
  </si>
  <si>
    <t>META</t>
  </si>
  <si>
    <t>AMZN</t>
  </si>
  <si>
    <t>PEERS AVERAGE (excl. AAPL)</t>
  </si>
  <si>
    <t>IMPLIED FAIR PRICE (P/E Basis)</t>
  </si>
  <si>
    <t>Number of sahres in B</t>
  </si>
  <si>
    <t>THE INPUTS</t>
  </si>
  <si>
    <t>g selected</t>
  </si>
  <si>
    <t>Value Investing</t>
  </si>
  <si>
    <t>Apple_DCF</t>
  </si>
  <si>
    <t>Company projections based on solid newspaper (bloomberg)</t>
  </si>
  <si>
    <t>Data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</si>
</sst>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[$$-409]* #,##0.00_ ;_-[$$-409]* \-#,##0.00\ ;_-[$$-409]* &quot;-&quot;??_ ;_-@_ "/>
    <numFmt numFmtId="165" formatCode="_(* #,##0_);_(* \(#,##0\);_(* &quot;-&quot;??_);_(@_)"/>
    <numFmt numFmtId="166" formatCode="_-[$$-409]* #,##0.000_ ;_-[$$-409]* \-#,##0.000\ ;_-[$$-409]* &quot;-&quot;??_ ;_-@_ "/>
    <numFmt numFmtId="167" formatCode="_-* #,##0.000_-;\-* #,##0.000_-;_-* &quot;-&quot;??_-;_-@_-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66CC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i/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i/>
      <sz val="10"/>
      <color rgb="FF000000"/>
      <name val="Arial"/>
      <family val="2"/>
    </font>
    <font>
      <i/>
      <sz val="10"/>
      <color rgb="FF0000FF"/>
      <name val="Arial"/>
      <family val="2"/>
    </font>
    <font>
      <b/>
      <sz val="10"/>
      <color rgb="FF0000FF"/>
      <name val="Arial"/>
      <family val="2"/>
    </font>
    <font>
      <b/>
      <u/>
      <sz val="10"/>
      <color rgb="FF000000"/>
      <name val="Arial"/>
      <family val="2"/>
    </font>
    <font>
      <b/>
      <i/>
      <sz val="10"/>
      <color rgb="FFFFFFFF"/>
      <name val="Arial"/>
      <family val="2"/>
    </font>
    <font>
      <u/>
      <sz val="11"/>
      <color rgb="FF0000FF"/>
      <name val="Calibri"/>
      <family val="2"/>
      <scheme val="minor"/>
    </font>
    <font>
      <b/>
      <i/>
      <sz val="10"/>
      <color rgb="FF0000FF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5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EB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249977111117893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A9A9A9"/>
      </right>
      <top/>
      <bottom/>
      <diagonal/>
    </border>
    <border>
      <left/>
      <right style="thin">
        <color rgb="FFEA8436"/>
      </right>
      <top/>
      <bottom style="thin">
        <color rgb="FFEA8436"/>
      </bottom>
      <diagonal/>
    </border>
    <border>
      <left/>
      <right/>
      <top/>
      <bottom style="thin">
        <color rgb="FFEA8436"/>
      </bottom>
      <diagonal/>
    </border>
    <border>
      <left style="thin">
        <color rgb="FFEA8436"/>
      </left>
      <right/>
      <top/>
      <bottom style="thin">
        <color rgb="FFEA8436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EA8436"/>
      </bottom>
      <diagonal/>
    </border>
    <border>
      <left/>
      <right/>
      <top style="medium">
        <color indexed="64"/>
      </top>
      <bottom style="thin">
        <color rgb="FFEA8436"/>
      </bottom>
      <diagonal/>
    </border>
    <border>
      <left/>
      <right style="medium">
        <color indexed="64"/>
      </right>
      <top style="medium">
        <color indexed="64"/>
      </top>
      <bottom style="thin">
        <color rgb="FFEA843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rgb="FFEA8436"/>
      </bottom>
      <diagonal/>
    </border>
    <border>
      <left/>
      <right style="medium">
        <color indexed="64"/>
      </right>
      <top/>
      <bottom style="thin">
        <color rgb="FFEA8436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rgb="FFA9A9A9"/>
      </right>
      <top style="thin">
        <color indexed="64"/>
      </top>
      <bottom style="double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rgb="FFEA8436"/>
      </right>
      <top style="thin">
        <color auto="1"/>
      </top>
      <bottom style="double">
        <color auto="1"/>
      </bottom>
      <diagonal/>
    </border>
    <border>
      <left style="thin">
        <color theme="1"/>
      </left>
      <right/>
      <top style="thin">
        <color auto="1"/>
      </top>
      <bottom style="double">
        <color auto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/>
      <diagonal/>
    </border>
    <border>
      <left/>
      <right/>
      <top style="thick">
        <color auto="1"/>
      </top>
      <bottom style="double">
        <color indexed="64"/>
      </bottom>
      <diagonal/>
    </border>
    <border>
      <left style="medium">
        <color indexed="64"/>
      </left>
      <right/>
      <top style="thick">
        <color auto="1"/>
      </top>
      <bottom style="double">
        <color indexed="64"/>
      </bottom>
      <diagonal/>
    </border>
    <border>
      <left/>
      <right style="medium">
        <color indexed="64"/>
      </right>
      <top style="thick">
        <color auto="1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ck">
        <color auto="1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2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0" fillId="4" borderId="3" xfId="0" applyFill="1" applyBorder="1" applyAlignment="1">
      <alignment vertical="top"/>
    </xf>
    <xf numFmtId="0" fontId="0" fillId="0" borderId="3" xfId="0" applyBorder="1" applyAlignment="1">
      <alignment vertical="top"/>
    </xf>
    <xf numFmtId="0" fontId="3" fillId="0" borderId="3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" fillId="5" borderId="3" xfId="0" applyFont="1" applyFill="1" applyBorder="1" applyAlignment="1">
      <alignment vertical="top"/>
    </xf>
    <xf numFmtId="0" fontId="0" fillId="3" borderId="3" xfId="0" applyFill="1" applyBorder="1" applyAlignment="1">
      <alignment vertical="top"/>
    </xf>
    <xf numFmtId="0" fontId="11" fillId="0" borderId="0" xfId="0" applyFont="1"/>
    <xf numFmtId="0" fontId="18" fillId="0" borderId="3" xfId="1" applyFont="1" applyBorder="1" applyAlignment="1">
      <alignment vertical="top"/>
    </xf>
    <xf numFmtId="0" fontId="7" fillId="6" borderId="0" xfId="0" applyFont="1" applyFill="1" applyAlignment="1">
      <alignment horizontal="center"/>
    </xf>
    <xf numFmtId="0" fontId="17" fillId="6" borderId="0" xfId="0" applyFont="1" applyFill="1" applyAlignment="1">
      <alignment horizontal="center" vertical="top"/>
    </xf>
    <xf numFmtId="0" fontId="7" fillId="6" borderId="0" xfId="0" applyFont="1" applyFill="1" applyAlignment="1">
      <alignment horizontal="center" vertical="top"/>
    </xf>
    <xf numFmtId="17" fontId="7" fillId="6" borderId="5" xfId="0" applyNumberFormat="1" applyFont="1" applyFill="1" applyBorder="1" applyAlignment="1">
      <alignment horizontal="center" vertical="top"/>
    </xf>
    <xf numFmtId="17" fontId="7" fillId="6" borderId="6" xfId="0" applyNumberFormat="1" applyFont="1" applyFill="1" applyBorder="1" applyAlignment="1">
      <alignment horizontal="center" vertical="top"/>
    </xf>
    <xf numFmtId="17" fontId="7" fillId="6" borderId="0" xfId="0" applyNumberFormat="1" applyFont="1" applyFill="1" applyAlignment="1">
      <alignment horizontal="center" vertical="top"/>
    </xf>
    <xf numFmtId="0" fontId="7" fillId="6" borderId="6" xfId="0" applyFont="1" applyFill="1" applyBorder="1" applyAlignment="1">
      <alignment horizontal="center" vertical="top"/>
    </xf>
    <xf numFmtId="0" fontId="11" fillId="0" borderId="0" xfId="0" applyFont="1" applyAlignment="1">
      <alignment vertical="top"/>
    </xf>
    <xf numFmtId="43" fontId="11" fillId="0" borderId="0" xfId="0" applyNumberFormat="1" applyFont="1" applyAlignment="1">
      <alignment vertical="top"/>
    </xf>
    <xf numFmtId="43" fontId="12" fillId="0" borderId="4" xfId="0" applyNumberFormat="1" applyFont="1" applyBorder="1" applyAlignment="1">
      <alignment vertical="top"/>
    </xf>
    <xf numFmtId="43" fontId="12" fillId="0" borderId="0" xfId="0" applyNumberFormat="1" applyFont="1" applyAlignment="1">
      <alignment vertical="top"/>
    </xf>
    <xf numFmtId="43" fontId="13" fillId="0" borderId="0" xfId="0" applyNumberFormat="1" applyFont="1" applyAlignment="1">
      <alignment vertical="top"/>
    </xf>
    <xf numFmtId="43" fontId="14" fillId="0" borderId="0" xfId="0" applyNumberFormat="1" applyFont="1" applyAlignment="1">
      <alignment vertical="top"/>
    </xf>
    <xf numFmtId="43" fontId="13" fillId="0" borderId="4" xfId="0" applyNumberFormat="1" applyFont="1" applyBorder="1" applyAlignment="1">
      <alignment vertical="top"/>
    </xf>
    <xf numFmtId="0" fontId="13" fillId="0" borderId="0" xfId="0" applyFont="1" applyAlignment="1">
      <alignment vertical="top"/>
    </xf>
    <xf numFmtId="0" fontId="13" fillId="0" borderId="6" xfId="0" applyFont="1" applyBorder="1" applyAlignment="1">
      <alignment vertical="top"/>
    </xf>
    <xf numFmtId="43" fontId="14" fillId="0" borderId="5" xfId="0" applyNumberFormat="1" applyFont="1" applyBorder="1" applyAlignment="1">
      <alignment vertical="top"/>
    </xf>
    <xf numFmtId="43" fontId="13" fillId="0" borderId="6" xfId="0" applyNumberFormat="1" applyFont="1" applyBorder="1" applyAlignment="1">
      <alignment vertical="top"/>
    </xf>
    <xf numFmtId="43" fontId="15" fillId="0" borderId="0" xfId="0" applyNumberFormat="1" applyFont="1" applyAlignment="1">
      <alignment vertical="top"/>
    </xf>
    <xf numFmtId="43" fontId="11" fillId="0" borderId="0" xfId="0" applyNumberFormat="1" applyFont="1" applyAlignment="1">
      <alignment horizontal="center" vertical="top"/>
    </xf>
    <xf numFmtId="43" fontId="10" fillId="0" borderId="0" xfId="0" applyNumberFormat="1" applyFont="1" applyAlignment="1">
      <alignment vertical="top"/>
    </xf>
    <xf numFmtId="43" fontId="10" fillId="0" borderId="6" xfId="0" applyNumberFormat="1" applyFont="1" applyBorder="1" applyAlignment="1">
      <alignment vertical="top"/>
    </xf>
    <xf numFmtId="43" fontId="11" fillId="0" borderId="4" xfId="0" applyNumberFormat="1" applyFont="1" applyBorder="1" applyAlignment="1">
      <alignment vertical="top"/>
    </xf>
    <xf numFmtId="0" fontId="9" fillId="4" borderId="26" xfId="0" applyFont="1" applyFill="1" applyBorder="1" applyAlignment="1">
      <alignment vertical="top"/>
    </xf>
    <xf numFmtId="43" fontId="9" fillId="4" borderId="27" xfId="0" applyNumberFormat="1" applyFont="1" applyFill="1" applyBorder="1" applyAlignment="1">
      <alignment vertical="top"/>
    </xf>
    <xf numFmtId="43" fontId="9" fillId="4" borderId="26" xfId="0" applyNumberFormat="1" applyFont="1" applyFill="1" applyBorder="1" applyAlignment="1">
      <alignment vertical="top"/>
    </xf>
    <xf numFmtId="43" fontId="10" fillId="4" borderId="26" xfId="0" applyNumberFormat="1" applyFont="1" applyFill="1" applyBorder="1" applyAlignment="1">
      <alignment vertical="top"/>
    </xf>
    <xf numFmtId="43" fontId="19" fillId="4" borderId="27" xfId="0" applyNumberFormat="1" applyFont="1" applyFill="1" applyBorder="1" applyAlignment="1">
      <alignment vertical="top"/>
    </xf>
    <xf numFmtId="43" fontId="19" fillId="4" borderId="2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43" fontId="7" fillId="6" borderId="0" xfId="0" applyNumberFormat="1" applyFont="1" applyFill="1" applyAlignment="1">
      <alignment horizontal="center" vertical="top"/>
    </xf>
    <xf numFmtId="43" fontId="7" fillId="6" borderId="9" xfId="0" applyNumberFormat="1" applyFont="1" applyFill="1" applyBorder="1" applyAlignment="1">
      <alignment horizontal="center" vertical="top"/>
    </xf>
    <xf numFmtId="43" fontId="7" fillId="6" borderId="12" xfId="0" applyNumberFormat="1" applyFont="1" applyFill="1" applyBorder="1" applyAlignment="1">
      <alignment horizontal="center" vertical="top"/>
    </xf>
    <xf numFmtId="0" fontId="10" fillId="4" borderId="30" xfId="0" applyFont="1" applyFill="1" applyBorder="1" applyAlignment="1">
      <alignment vertical="top"/>
    </xf>
    <xf numFmtId="43" fontId="10" fillId="4" borderId="31" xfId="0" applyNumberFormat="1" applyFont="1" applyFill="1" applyBorder="1" applyAlignment="1">
      <alignment vertical="top"/>
    </xf>
    <xf numFmtId="43" fontId="10" fillId="4" borderId="30" xfId="0" applyNumberFormat="1" applyFont="1" applyFill="1" applyBorder="1" applyAlignment="1">
      <alignment vertical="top"/>
    </xf>
    <xf numFmtId="43" fontId="10" fillId="4" borderId="32" xfId="0" applyNumberFormat="1" applyFont="1" applyFill="1" applyBorder="1" applyAlignment="1">
      <alignment vertical="top"/>
    </xf>
    <xf numFmtId="43" fontId="7" fillId="6" borderId="11" xfId="0" applyNumberFormat="1" applyFont="1" applyFill="1" applyBorder="1" applyAlignment="1">
      <alignment horizontal="center" vertical="top"/>
    </xf>
    <xf numFmtId="43" fontId="10" fillId="0" borderId="5" xfId="0" applyNumberFormat="1" applyFont="1" applyBorder="1" applyAlignment="1">
      <alignment vertical="top"/>
    </xf>
    <xf numFmtId="43" fontId="11" fillId="0" borderId="11" xfId="0" applyNumberFormat="1" applyFont="1" applyBorder="1" applyAlignment="1">
      <alignment vertical="top"/>
    </xf>
    <xf numFmtId="43" fontId="11" fillId="0" borderId="9" xfId="0" applyNumberFormat="1" applyFont="1" applyBorder="1" applyAlignment="1">
      <alignment vertical="top"/>
    </xf>
    <xf numFmtId="43" fontId="11" fillId="0" borderId="12" xfId="0" applyNumberFormat="1" applyFont="1" applyBorder="1" applyAlignment="1">
      <alignment vertical="top"/>
    </xf>
    <xf numFmtId="0" fontId="9" fillId="4" borderId="30" xfId="0" applyFont="1" applyFill="1" applyBorder="1" applyAlignment="1">
      <alignment vertical="top"/>
    </xf>
    <xf numFmtId="43" fontId="7" fillId="6" borderId="5" xfId="0" applyNumberFormat="1" applyFont="1" applyFill="1" applyBorder="1" applyAlignment="1">
      <alignment horizontal="center" vertical="top"/>
    </xf>
    <xf numFmtId="43" fontId="7" fillId="6" borderId="16" xfId="0" applyNumberFormat="1" applyFont="1" applyFill="1" applyBorder="1" applyAlignment="1">
      <alignment horizontal="center" vertical="top"/>
    </xf>
    <xf numFmtId="43" fontId="7" fillId="6" borderId="17" xfId="0" applyNumberFormat="1" applyFont="1" applyFill="1" applyBorder="1" applyAlignment="1">
      <alignment horizontal="center" vertical="top"/>
    </xf>
    <xf numFmtId="43" fontId="7" fillId="6" borderId="18" xfId="0" applyNumberFormat="1" applyFont="1" applyFill="1" applyBorder="1" applyAlignment="1">
      <alignment horizontal="center" vertical="top"/>
    </xf>
    <xf numFmtId="43" fontId="10" fillId="0" borderId="19" xfId="0" applyNumberFormat="1" applyFont="1" applyBorder="1" applyAlignment="1">
      <alignment vertical="top"/>
    </xf>
    <xf numFmtId="43" fontId="10" fillId="0" borderId="20" xfId="0" applyNumberFormat="1" applyFont="1" applyBorder="1" applyAlignment="1">
      <alignment vertical="top"/>
    </xf>
    <xf numFmtId="0" fontId="9" fillId="4" borderId="28" xfId="0" applyFont="1" applyFill="1" applyBorder="1" applyAlignment="1">
      <alignment vertical="top"/>
    </xf>
    <xf numFmtId="43" fontId="10" fillId="4" borderId="28" xfId="0" applyNumberFormat="1" applyFont="1" applyFill="1" applyBorder="1" applyAlignment="1">
      <alignment vertical="top"/>
    </xf>
    <xf numFmtId="43" fontId="10" fillId="4" borderId="34" xfId="0" applyNumberFormat="1" applyFont="1" applyFill="1" applyBorder="1" applyAlignment="1">
      <alignment vertical="top"/>
    </xf>
    <xf numFmtId="43" fontId="10" fillId="4" borderId="35" xfId="0" applyNumberFormat="1" applyFont="1" applyFill="1" applyBorder="1" applyAlignment="1">
      <alignment vertical="top"/>
    </xf>
    <xf numFmtId="43" fontId="10" fillId="4" borderId="36" xfId="0" applyNumberFormat="1" applyFont="1" applyFill="1" applyBorder="1" applyAlignment="1">
      <alignment vertical="top"/>
    </xf>
    <xf numFmtId="0" fontId="10" fillId="4" borderId="37" xfId="0" applyFont="1" applyFill="1" applyBorder="1" applyAlignment="1">
      <alignment vertical="top"/>
    </xf>
    <xf numFmtId="0" fontId="10" fillId="4" borderId="38" xfId="0" applyFont="1" applyFill="1" applyBorder="1" applyAlignment="1">
      <alignment vertical="top"/>
    </xf>
    <xf numFmtId="0" fontId="10" fillId="4" borderId="39" xfId="0" applyFont="1" applyFill="1" applyBorder="1" applyAlignment="1">
      <alignment vertical="top"/>
    </xf>
    <xf numFmtId="17" fontId="10" fillId="0" borderId="5" xfId="0" applyNumberFormat="1" applyFont="1" applyBorder="1" applyAlignment="1">
      <alignment vertical="top"/>
    </xf>
    <xf numFmtId="17" fontId="10" fillId="0" borderId="6" xfId="0" applyNumberFormat="1" applyFont="1" applyBorder="1" applyAlignment="1">
      <alignment vertical="top"/>
    </xf>
    <xf numFmtId="17" fontId="10" fillId="0" borderId="22" xfId="0" applyNumberFormat="1" applyFont="1" applyBorder="1" applyAlignment="1">
      <alignment vertical="top"/>
    </xf>
    <xf numFmtId="2" fontId="10" fillId="0" borderId="0" xfId="0" applyNumberFormat="1" applyFont="1" applyAlignment="1">
      <alignment vertical="top"/>
    </xf>
    <xf numFmtId="2" fontId="10" fillId="0" borderId="24" xfId="0" applyNumberFormat="1" applyFont="1" applyBorder="1" applyAlignment="1">
      <alignment vertical="top"/>
    </xf>
    <xf numFmtId="43" fontId="20" fillId="6" borderId="0" xfId="0" applyNumberFormat="1" applyFont="1" applyFill="1" applyAlignment="1">
      <alignment horizontal="center" vertical="top"/>
    </xf>
    <xf numFmtId="43" fontId="11" fillId="0" borderId="0" xfId="0" applyNumberFormat="1" applyFont="1" applyAlignment="1">
      <alignment horizontal="right" vertical="top"/>
    </xf>
    <xf numFmtId="0" fontId="1" fillId="8" borderId="40" xfId="0" applyFont="1" applyFill="1" applyBorder="1" applyAlignment="1">
      <alignment vertical="top"/>
    </xf>
    <xf numFmtId="0" fontId="23" fillId="0" borderId="41" xfId="0" applyFont="1" applyBorder="1" applyAlignment="1">
      <alignment vertical="top"/>
    </xf>
    <xf numFmtId="0" fontId="1" fillId="0" borderId="41" xfId="0" applyFont="1" applyBorder="1" applyAlignment="1">
      <alignment vertical="top"/>
    </xf>
    <xf numFmtId="0" fontId="0" fillId="0" borderId="41" xfId="0" applyBorder="1" applyAlignment="1">
      <alignment vertical="top"/>
    </xf>
    <xf numFmtId="0" fontId="0" fillId="9" borderId="0" xfId="0" applyFill="1" applyAlignment="1">
      <alignment vertical="top"/>
    </xf>
    <xf numFmtId="17" fontId="7" fillId="6" borderId="0" xfId="0" applyNumberFormat="1" applyFont="1" applyFill="1" applyAlignment="1">
      <alignment horizontal="center" vertical="center"/>
    </xf>
    <xf numFmtId="165" fontId="15" fillId="4" borderId="30" xfId="0" applyNumberFormat="1" applyFont="1" applyFill="1" applyBorder="1" applyAlignment="1">
      <alignment vertical="top"/>
    </xf>
    <xf numFmtId="165" fontId="10" fillId="4" borderId="30" xfId="0" applyNumberFormat="1" applyFont="1" applyFill="1" applyBorder="1" applyAlignment="1">
      <alignment vertical="top"/>
    </xf>
    <xf numFmtId="165" fontId="12" fillId="0" borderId="0" xfId="0" applyNumberFormat="1" applyFont="1" applyAlignment="1">
      <alignment vertical="top"/>
    </xf>
    <xf numFmtId="165" fontId="11" fillId="0" borderId="0" xfId="0" applyNumberFormat="1" applyFont="1" applyAlignment="1">
      <alignment vertical="top"/>
    </xf>
    <xf numFmtId="165" fontId="15" fillId="4" borderId="28" xfId="0" applyNumberFormat="1" applyFont="1" applyFill="1" applyBorder="1" applyAlignment="1">
      <alignment vertical="top"/>
    </xf>
    <xf numFmtId="165" fontId="10" fillId="4" borderId="28" xfId="0" applyNumberFormat="1" applyFont="1" applyFill="1" applyBorder="1" applyAlignment="1">
      <alignment vertical="top"/>
    </xf>
    <xf numFmtId="165" fontId="15" fillId="4" borderId="37" xfId="0" applyNumberFormat="1" applyFont="1" applyFill="1" applyBorder="1" applyAlignment="1">
      <alignment vertical="top"/>
    </xf>
    <xf numFmtId="165" fontId="10" fillId="4" borderId="37" xfId="0" applyNumberFormat="1" applyFont="1" applyFill="1" applyBorder="1" applyAlignment="1">
      <alignment vertical="top"/>
    </xf>
    <xf numFmtId="165" fontId="15" fillId="0" borderId="15" xfId="0" applyNumberFormat="1" applyFont="1" applyBorder="1" applyAlignment="1">
      <alignment vertical="top"/>
    </xf>
    <xf numFmtId="165" fontId="10" fillId="0" borderId="15" xfId="0" applyNumberFormat="1" applyFont="1" applyBorder="1" applyAlignment="1">
      <alignment vertical="top"/>
    </xf>
    <xf numFmtId="0" fontId="7" fillId="6" borderId="44" xfId="0" applyFont="1" applyFill="1" applyBorder="1" applyAlignment="1">
      <alignment horizontal="center" vertical="center"/>
    </xf>
    <xf numFmtId="0" fontId="10" fillId="4" borderId="45" xfId="0" applyFont="1" applyFill="1" applyBorder="1" applyAlignment="1">
      <alignment vertical="top"/>
    </xf>
    <xf numFmtId="0" fontId="11" fillId="0" borderId="44" xfId="0" applyFont="1" applyBorder="1" applyAlignment="1">
      <alignment vertical="top"/>
    </xf>
    <xf numFmtId="0" fontId="10" fillId="4" borderId="46" xfId="0" applyFont="1" applyFill="1" applyBorder="1" applyAlignment="1">
      <alignment vertical="top"/>
    </xf>
    <xf numFmtId="0" fontId="10" fillId="4" borderId="47" xfId="0" applyFont="1" applyFill="1" applyBorder="1" applyAlignment="1">
      <alignment vertical="top"/>
    </xf>
    <xf numFmtId="0" fontId="10" fillId="0" borderId="46" xfId="0" applyFont="1" applyBorder="1" applyAlignment="1">
      <alignment vertical="top"/>
    </xf>
    <xf numFmtId="0" fontId="7" fillId="0" borderId="0" xfId="0" applyFont="1" applyAlignment="1">
      <alignment vertical="top"/>
    </xf>
    <xf numFmtId="0" fontId="6" fillId="0" borderId="0" xfId="0" applyFont="1"/>
    <xf numFmtId="0" fontId="6" fillId="0" borderId="0" xfId="0" applyFont="1" applyAlignment="1">
      <alignment vertical="top"/>
    </xf>
    <xf numFmtId="0" fontId="8" fillId="0" borderId="15" xfId="0" applyFont="1" applyBorder="1" applyAlignment="1">
      <alignment vertical="top"/>
    </xf>
    <xf numFmtId="0" fontId="8" fillId="4" borderId="48" xfId="0" applyFont="1" applyFill="1" applyBorder="1" applyAlignment="1">
      <alignment vertical="top"/>
    </xf>
    <xf numFmtId="0" fontId="8" fillId="4" borderId="28" xfId="0" applyFont="1" applyFill="1" applyBorder="1" applyAlignment="1">
      <alignment vertical="top"/>
    </xf>
    <xf numFmtId="0" fontId="8" fillId="4" borderId="30" xfId="0" applyFont="1" applyFill="1" applyBorder="1" applyAlignment="1">
      <alignment vertical="top"/>
    </xf>
    <xf numFmtId="0" fontId="8" fillId="0" borderId="0" xfId="0" applyFont="1" applyAlignment="1">
      <alignment vertical="top"/>
    </xf>
    <xf numFmtId="0" fontId="8" fillId="4" borderId="37" xfId="0" applyFont="1" applyFill="1" applyBorder="1" applyAlignment="1">
      <alignment vertical="top"/>
    </xf>
    <xf numFmtId="0" fontId="8" fillId="4" borderId="43" xfId="0" applyFont="1" applyFill="1" applyBorder="1" applyAlignment="1">
      <alignment vertical="top"/>
    </xf>
    <xf numFmtId="165" fontId="6" fillId="0" borderId="0" xfId="0" applyNumberFormat="1" applyFont="1" applyAlignment="1">
      <alignment vertical="top"/>
    </xf>
    <xf numFmtId="165" fontId="8" fillId="4" borderId="48" xfId="0" applyNumberFormat="1" applyFont="1" applyFill="1" applyBorder="1" applyAlignment="1">
      <alignment vertical="top"/>
    </xf>
    <xf numFmtId="165" fontId="8" fillId="4" borderId="30" xfId="0" applyNumberFormat="1" applyFont="1" applyFill="1" applyBorder="1" applyAlignment="1">
      <alignment vertical="top"/>
    </xf>
    <xf numFmtId="165" fontId="8" fillId="0" borderId="0" xfId="0" applyNumberFormat="1" applyFont="1" applyAlignment="1">
      <alignment vertical="top"/>
    </xf>
    <xf numFmtId="165" fontId="8" fillId="0" borderId="15" xfId="0" applyNumberFormat="1" applyFont="1" applyBorder="1" applyAlignment="1">
      <alignment vertical="top"/>
    </xf>
    <xf numFmtId="165" fontId="8" fillId="4" borderId="28" xfId="0" applyNumberFormat="1" applyFont="1" applyFill="1" applyBorder="1" applyAlignment="1">
      <alignment vertical="top"/>
    </xf>
    <xf numFmtId="165" fontId="8" fillId="4" borderId="43" xfId="0" applyNumberFormat="1" applyFont="1" applyFill="1" applyBorder="1" applyAlignment="1">
      <alignment vertical="top"/>
    </xf>
    <xf numFmtId="165" fontId="8" fillId="4" borderId="37" xfId="0" applyNumberFormat="1" applyFont="1" applyFill="1" applyBorder="1" applyAlignment="1">
      <alignment vertical="top"/>
    </xf>
    <xf numFmtId="17" fontId="10" fillId="0" borderId="21" xfId="0" applyNumberFormat="1" applyFont="1" applyBorder="1" applyAlignment="1">
      <alignment horizontal="right" vertical="top"/>
    </xf>
    <xf numFmtId="167" fontId="24" fillId="10" borderId="0" xfId="0" applyNumberFormat="1" applyFont="1" applyFill="1" applyAlignment="1">
      <alignment vertical="top"/>
    </xf>
    <xf numFmtId="164" fontId="10" fillId="0" borderId="25" xfId="0" applyNumberFormat="1" applyFont="1" applyBorder="1" applyAlignment="1">
      <alignment vertical="top"/>
    </xf>
    <xf numFmtId="164" fontId="10" fillId="0" borderId="24" xfId="0" applyNumberFormat="1" applyFont="1" applyBorder="1" applyAlignment="1">
      <alignment vertical="top"/>
    </xf>
    <xf numFmtId="164" fontId="10" fillId="0" borderId="23" xfId="0" applyNumberFormat="1" applyFont="1" applyBorder="1" applyAlignment="1">
      <alignment vertical="top"/>
    </xf>
    <xf numFmtId="164" fontId="1" fillId="9" borderId="0" xfId="0" applyNumberFormat="1" applyFont="1" applyFill="1" applyAlignment="1">
      <alignment vertical="top"/>
    </xf>
    <xf numFmtId="0" fontId="0" fillId="0" borderId="49" xfId="0" applyBorder="1" applyAlignment="1">
      <alignment vertical="top"/>
    </xf>
    <xf numFmtId="0" fontId="4" fillId="0" borderId="49" xfId="0" applyFont="1" applyBorder="1" applyAlignment="1">
      <alignment vertical="top"/>
    </xf>
    <xf numFmtId="0" fontId="0" fillId="0" borderId="1" xfId="0" applyBorder="1" applyAlignment="1">
      <alignment vertical="top"/>
    </xf>
    <xf numFmtId="0" fontId="5" fillId="0" borderId="1" xfId="1" applyBorder="1"/>
    <xf numFmtId="43" fontId="15" fillId="4" borderId="29" xfId="0" applyNumberFormat="1" applyFont="1" applyFill="1" applyBorder="1" applyAlignment="1">
      <alignment horizontal="right" vertical="top"/>
    </xf>
    <xf numFmtId="43" fontId="10" fillId="4" borderId="29" xfId="0" applyNumberFormat="1" applyFont="1" applyFill="1" applyBorder="1" applyAlignment="1">
      <alignment horizontal="right" vertical="top"/>
    </xf>
    <xf numFmtId="9" fontId="20" fillId="6" borderId="14" xfId="2" applyFont="1" applyFill="1" applyBorder="1" applyAlignment="1">
      <alignment horizontal="center" vertical="top"/>
    </xf>
    <xf numFmtId="10" fontId="15" fillId="7" borderId="14" xfId="0" applyNumberFormat="1" applyFont="1" applyFill="1" applyBorder="1" applyAlignment="1">
      <alignment horizontal="center" vertical="top"/>
    </xf>
    <xf numFmtId="10" fontId="7" fillId="7" borderId="14" xfId="0" applyNumberFormat="1" applyFont="1" applyFill="1" applyBorder="1" applyAlignment="1">
      <alignment horizontal="center" vertical="top"/>
    </xf>
    <xf numFmtId="10" fontId="15" fillId="7" borderId="8" xfId="0" applyNumberFormat="1" applyFont="1" applyFill="1" applyBorder="1" applyAlignment="1">
      <alignment horizontal="center" vertical="top"/>
    </xf>
    <xf numFmtId="10" fontId="7" fillId="7" borderId="8" xfId="0" applyNumberFormat="1" applyFont="1" applyFill="1" applyBorder="1" applyAlignment="1">
      <alignment horizontal="center" vertical="top"/>
    </xf>
    <xf numFmtId="10" fontId="15" fillId="7" borderId="10" xfId="0" applyNumberFormat="1" applyFont="1" applyFill="1" applyBorder="1" applyAlignment="1">
      <alignment horizontal="center" vertical="top"/>
    </xf>
    <xf numFmtId="10" fontId="7" fillId="7" borderId="10" xfId="0" applyNumberFormat="1" applyFont="1" applyFill="1" applyBorder="1" applyAlignment="1">
      <alignment horizontal="center" vertical="top"/>
    </xf>
    <xf numFmtId="43" fontId="11" fillId="0" borderId="13" xfId="0" applyNumberFormat="1" applyFont="1" applyBorder="1" applyAlignment="1">
      <alignment horizontal="right" vertical="top"/>
    </xf>
    <xf numFmtId="164" fontId="15" fillId="7" borderId="33" xfId="0" applyNumberFormat="1" applyFont="1" applyFill="1" applyBorder="1" applyAlignment="1">
      <alignment horizontal="center" vertical="top"/>
    </xf>
    <xf numFmtId="164" fontId="10" fillId="7" borderId="33" xfId="0" applyNumberFormat="1" applyFont="1" applyFill="1" applyBorder="1" applyAlignment="1">
      <alignment horizontal="center" vertical="top"/>
    </xf>
    <xf numFmtId="166" fontId="12" fillId="7" borderId="14" xfId="0" applyNumberFormat="1" applyFont="1" applyFill="1" applyBorder="1" applyAlignment="1">
      <alignment horizontal="center" vertical="top"/>
    </xf>
    <xf numFmtId="166" fontId="11" fillId="7" borderId="14" xfId="0" applyNumberFormat="1" applyFont="1" applyFill="1" applyBorder="1" applyAlignment="1">
      <alignment horizontal="center" vertical="top"/>
    </xf>
    <xf numFmtId="10" fontId="11" fillId="7" borderId="8" xfId="0" applyNumberFormat="1" applyFont="1" applyFill="1" applyBorder="1" applyAlignment="1">
      <alignment horizontal="center" vertical="top"/>
    </xf>
    <xf numFmtId="10" fontId="11" fillId="7" borderId="10" xfId="0" applyNumberFormat="1" applyFont="1" applyFill="1" applyBorder="1" applyAlignment="1">
      <alignment horizontal="center" vertical="top"/>
    </xf>
    <xf numFmtId="10" fontId="10" fillId="7" borderId="33" xfId="0" applyNumberFormat="1" applyFont="1" applyFill="1" applyBorder="1" applyAlignment="1">
      <alignment horizontal="center" vertical="top"/>
    </xf>
    <xf numFmtId="43" fontId="7" fillId="6" borderId="14" xfId="0" applyNumberFormat="1" applyFont="1" applyFill="1" applyBorder="1" applyAlignment="1">
      <alignment horizontal="center" vertical="top"/>
    </xf>
    <xf numFmtId="43" fontId="7" fillId="6" borderId="10" xfId="0" applyNumberFormat="1" applyFont="1" applyFill="1" applyBorder="1" applyAlignment="1">
      <alignment horizontal="center" vertical="top"/>
    </xf>
    <xf numFmtId="43" fontId="10" fillId="7" borderId="33" xfId="0" applyNumberFormat="1" applyFont="1" applyFill="1" applyBorder="1" applyAlignment="1">
      <alignment horizontal="center" vertical="top"/>
    </xf>
    <xf numFmtId="43" fontId="11" fillId="0" borderId="0" xfId="0" applyNumberFormat="1" applyFont="1" applyAlignment="1">
      <alignment vertical="top"/>
    </xf>
    <xf numFmtId="43" fontId="11" fillId="0" borderId="6" xfId="0" applyNumberFormat="1" applyFont="1" applyBorder="1" applyAlignment="1">
      <alignment vertical="top"/>
    </xf>
    <xf numFmtId="43" fontId="7" fillId="6" borderId="42" xfId="0" applyNumberFormat="1" applyFont="1" applyFill="1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7" fillId="6" borderId="0" xfId="0" applyFont="1" applyFill="1" applyAlignment="1">
      <alignment horizontal="center" vertical="top"/>
    </xf>
    <xf numFmtId="0" fontId="11" fillId="0" borderId="0" xfId="0" applyFont="1" applyAlignment="1">
      <alignment vertical="top"/>
    </xf>
    <xf numFmtId="43" fontId="10" fillId="0" borderId="0" xfId="0" applyNumberFormat="1" applyFont="1" applyAlignment="1">
      <alignment vertical="top"/>
    </xf>
    <xf numFmtId="0" fontId="17" fillId="6" borderId="0" xfId="0" applyFont="1" applyFill="1" applyAlignment="1">
      <alignment horizontal="center" vertical="top"/>
    </xf>
    <xf numFmtId="43" fontId="11" fillId="0" borderId="7" xfId="0" applyNumberFormat="1" applyFont="1" applyBorder="1" applyAlignment="1">
      <alignment vertical="top"/>
    </xf>
    <xf numFmtId="0" fontId="11" fillId="0" borderId="7" xfId="0" applyFont="1" applyBorder="1" applyAlignment="1">
      <alignment vertical="top"/>
    </xf>
    <xf numFmtId="43" fontId="16" fillId="0" borderId="0" xfId="0" applyNumberFormat="1" applyFont="1" applyAlignment="1">
      <alignment horizontal="center" vertical="top"/>
    </xf>
    <xf numFmtId="17" fontId="7" fillId="6" borderId="7" xfId="0" applyNumberFormat="1" applyFont="1" applyFill="1" applyBorder="1" applyAlignment="1">
      <alignment horizontal="center" vertical="top"/>
    </xf>
    <xf numFmtId="17" fontId="7" fillId="6" borderId="6" xfId="0" applyNumberFormat="1" applyFont="1" applyFill="1" applyBorder="1" applyAlignment="1">
      <alignment horizontal="center" vertical="top"/>
    </xf>
    <xf numFmtId="0" fontId="11" fillId="0" borderId="6" xfId="0" applyFont="1" applyBorder="1" applyAlignment="1">
      <alignment vertical="top"/>
    </xf>
    <xf numFmtId="0" fontId="22" fillId="6" borderId="0" xfId="0" applyFont="1" applyFill="1" applyAlignment="1">
      <alignment horizontal="center" vertical="top"/>
    </xf>
  </cellXfs>
  <cellStyles count="3">
    <cellStyle name="Hyperlink" xfId="1" builtinId="8"/>
    <cellStyle name="Normal" xfId="0" builtinId="0"/>
    <cellStyle name="Per cent" xfId="2" builtinId="5"/>
  </cellStyles>
  <dxfs count="0"/>
  <tableStyles count="1" defaultTableStyle="TableStyleMedium9" defaultPivotStyle="PivotStyleLight16">
    <tableStyle name="Invisible" pivot="0" table="0" count="0" xr9:uid="{49F32BFD-3B4E-47E6-9FD3-F68A639B6C4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valueinvesting.io/AAPL/valuation/wacc" TargetMode="External"/><Relationship Id="rId1" Type="http://schemas.openxmlformats.org/officeDocument/2006/relationships/hyperlink" Target="https://www.nasdaq.com/market-activity/stocks/aapl/financial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showGridLines="0" tabSelected="1" zoomScale="86" workbookViewId="0">
      <selection activeCell="C23" sqref="C23"/>
    </sheetView>
  </sheetViews>
  <sheetFormatPr defaultRowHeight="14.25" outlineLevelRow="1" x14ac:dyDescent="0.45"/>
  <cols>
    <col min="1" max="1" width="10.06640625" bestFit="1" customWidth="1"/>
    <col min="2" max="2" width="16.9296875" bestFit="1" customWidth="1"/>
    <col min="3" max="3" width="76.73046875" bestFit="1" customWidth="1"/>
  </cols>
  <sheetData>
    <row r="1" spans="1:3" x14ac:dyDescent="0.45">
      <c r="A1" s="3" t="s">
        <v>0</v>
      </c>
      <c r="B1" s="3" t="s">
        <v>58</v>
      </c>
      <c r="C1" s="3" t="s">
        <v>63</v>
      </c>
    </row>
    <row r="2" spans="1:3" outlineLevel="1" x14ac:dyDescent="0.45">
      <c r="A2" s="9" t="s">
        <v>1</v>
      </c>
      <c r="B2" s="5" t="s">
        <v>2</v>
      </c>
      <c r="C2" s="5" t="s">
        <v>34</v>
      </c>
    </row>
    <row r="3" spans="1:3" outlineLevel="1" x14ac:dyDescent="0.45">
      <c r="A3" s="9" t="s">
        <v>3</v>
      </c>
      <c r="B3" s="5" t="s">
        <v>4</v>
      </c>
      <c r="C3" s="5" t="s">
        <v>35</v>
      </c>
    </row>
    <row r="4" spans="1:3" x14ac:dyDescent="0.45">
      <c r="A4" s="9" t="s">
        <v>5</v>
      </c>
      <c r="B4" s="5" t="s">
        <v>6</v>
      </c>
      <c r="C4" s="5" t="s">
        <v>36</v>
      </c>
    </row>
    <row r="5" spans="1:3" x14ac:dyDescent="0.45">
      <c r="A5" s="9" t="s">
        <v>7</v>
      </c>
      <c r="B5" s="5" t="s">
        <v>8</v>
      </c>
      <c r="C5" s="5" t="s">
        <v>37</v>
      </c>
    </row>
  </sheetData>
  <dataConsolidate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1"/>
  <sheetViews>
    <sheetView showGridLines="0" topLeftCell="B1" workbookViewId="0">
      <selection activeCell="B1" sqref="A1:G7"/>
    </sheetView>
  </sheetViews>
  <sheetFormatPr defaultRowHeight="14.25" x14ac:dyDescent="0.45"/>
  <cols>
    <col min="1" max="1" width="18.33203125" bestFit="1" customWidth="1"/>
    <col min="2" max="4" width="5.73046875" bestFit="1" customWidth="1"/>
    <col min="5" max="5" width="4.73046875" bestFit="1" customWidth="1"/>
    <col min="6" max="6" width="9.33203125" bestFit="1" customWidth="1"/>
    <col min="7" max="7" width="46.59765625" bestFit="1" customWidth="1"/>
  </cols>
  <sheetData>
    <row r="1" spans="1:7" x14ac:dyDescent="0.45">
      <c r="A1" s="3" t="s">
        <v>9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  <c r="G1" s="2" t="s">
        <v>57</v>
      </c>
    </row>
    <row r="2" spans="1:7" x14ac:dyDescent="0.45">
      <c r="A2" s="4" t="s">
        <v>15</v>
      </c>
      <c r="B2" s="5">
        <v>365.8</v>
      </c>
      <c r="C2" s="5">
        <v>394.3</v>
      </c>
      <c r="D2" s="5">
        <v>383.3</v>
      </c>
      <c r="E2" s="5">
        <v>391</v>
      </c>
      <c r="F2" s="6">
        <v>416.2</v>
      </c>
      <c r="G2" s="1" t="s">
        <v>38</v>
      </c>
    </row>
    <row r="3" spans="1:7" x14ac:dyDescent="0.45">
      <c r="A3" s="4" t="s">
        <v>16</v>
      </c>
      <c r="B3" s="5">
        <v>94.7</v>
      </c>
      <c r="C3" s="5">
        <v>99.8</v>
      </c>
      <c r="D3" s="5">
        <v>97</v>
      </c>
      <c r="E3" s="5">
        <v>93.7</v>
      </c>
      <c r="F3" s="6">
        <v>112</v>
      </c>
      <c r="G3" s="1" t="s">
        <v>39</v>
      </c>
    </row>
    <row r="4" spans="1:7" x14ac:dyDescent="0.45">
      <c r="A4" s="4" t="s">
        <v>2</v>
      </c>
      <c r="B4" s="5">
        <v>1.07</v>
      </c>
      <c r="C4" s="5">
        <v>0.88</v>
      </c>
      <c r="D4" s="5">
        <v>0.99</v>
      </c>
      <c r="E4" s="5">
        <v>0.87</v>
      </c>
      <c r="F4" s="6">
        <v>0.89</v>
      </c>
      <c r="G4" s="1" t="s">
        <v>40</v>
      </c>
    </row>
    <row r="5" spans="1:7" x14ac:dyDescent="0.45">
      <c r="A5" s="4" t="s">
        <v>17</v>
      </c>
      <c r="B5" s="5">
        <v>25.9</v>
      </c>
      <c r="C5" s="5">
        <v>25.3</v>
      </c>
      <c r="D5" s="5">
        <v>25.3</v>
      </c>
      <c r="E5" s="5">
        <v>24</v>
      </c>
      <c r="F5" s="6">
        <v>26.9</v>
      </c>
      <c r="G5" s="1" t="s">
        <v>41</v>
      </c>
    </row>
    <row r="6" spans="1:7" x14ac:dyDescent="0.45">
      <c r="A6" s="4" t="s">
        <v>18</v>
      </c>
      <c r="B6" s="5">
        <v>1.98</v>
      </c>
      <c r="C6" s="5">
        <v>1.95</v>
      </c>
      <c r="D6" s="5">
        <v>1.91</v>
      </c>
      <c r="E6" s="5">
        <v>2.09</v>
      </c>
      <c r="F6" s="6">
        <v>3.87</v>
      </c>
      <c r="G6" s="1" t="s">
        <v>42</v>
      </c>
    </row>
    <row r="7" spans="1:7" x14ac:dyDescent="0.45">
      <c r="A7" s="4" t="s">
        <v>8</v>
      </c>
      <c r="B7" s="5">
        <v>1.04</v>
      </c>
      <c r="C7" s="5">
        <v>1.1200000000000001</v>
      </c>
      <c r="D7" s="5">
        <v>1.0900000000000001</v>
      </c>
      <c r="E7" s="5">
        <v>1.07</v>
      </c>
      <c r="F7" s="6">
        <v>1.1599999999999999</v>
      </c>
      <c r="G7" s="1" t="s">
        <v>43</v>
      </c>
    </row>
    <row r="8" spans="1:7" x14ac:dyDescent="0.45">
      <c r="A8" s="1"/>
      <c r="B8" s="1"/>
      <c r="C8" s="1"/>
      <c r="D8" s="1"/>
      <c r="E8" s="1"/>
      <c r="F8" s="1"/>
      <c r="G8" s="1"/>
    </row>
    <row r="9" spans="1:7" x14ac:dyDescent="0.45">
      <c r="A9" s="1"/>
      <c r="B9" s="1"/>
      <c r="C9" s="1"/>
      <c r="D9" s="1"/>
      <c r="E9" s="1"/>
      <c r="F9" s="1"/>
      <c r="G9" s="1"/>
    </row>
    <row r="10" spans="1:7" x14ac:dyDescent="0.45">
      <c r="A10" s="1"/>
      <c r="B10" s="1"/>
      <c r="C10" s="1"/>
      <c r="D10" s="1"/>
      <c r="E10" s="1"/>
      <c r="F10" s="1"/>
      <c r="G10" s="1"/>
    </row>
    <row r="11" spans="1:7" ht="14.25" customHeight="1" x14ac:dyDescent="0.45">
      <c r="A11" s="1"/>
      <c r="B11" s="1"/>
      <c r="C11" s="1"/>
      <c r="D11" s="1"/>
      <c r="E11" s="1"/>
      <c r="F11" s="1"/>
      <c r="G11" s="1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showGridLines="0" workbookViewId="0">
      <selection sqref="A1:D7"/>
    </sheetView>
  </sheetViews>
  <sheetFormatPr defaultRowHeight="14.25" x14ac:dyDescent="0.45"/>
  <cols>
    <col min="1" max="1" width="20.796875" bestFit="1" customWidth="1"/>
    <col min="2" max="2" width="25.59765625" bestFit="1" customWidth="1"/>
    <col min="3" max="3" width="48.796875" bestFit="1" customWidth="1"/>
    <col min="4" max="4" width="40.86328125" bestFit="1" customWidth="1"/>
  </cols>
  <sheetData>
    <row r="1" spans="1:4" x14ac:dyDescent="0.45">
      <c r="A1" s="2" t="s">
        <v>54</v>
      </c>
      <c r="B1" s="2" t="s">
        <v>55</v>
      </c>
      <c r="C1" s="2" t="s">
        <v>53</v>
      </c>
      <c r="D1" s="2" t="s">
        <v>24</v>
      </c>
    </row>
    <row r="2" spans="1:4" x14ac:dyDescent="0.45">
      <c r="A2" s="5" t="s">
        <v>25</v>
      </c>
      <c r="B2" s="7" t="s">
        <v>26</v>
      </c>
      <c r="C2" s="5" t="s">
        <v>59</v>
      </c>
      <c r="D2" s="5" t="s">
        <v>48</v>
      </c>
    </row>
    <row r="3" spans="1:4" x14ac:dyDescent="0.45">
      <c r="A3" s="5" t="s">
        <v>27</v>
      </c>
      <c r="B3" s="7" t="s">
        <v>28</v>
      </c>
      <c r="C3" s="5" t="s">
        <v>60</v>
      </c>
      <c r="D3" s="5" t="s">
        <v>49</v>
      </c>
    </row>
    <row r="4" spans="1:4" x14ac:dyDescent="0.45">
      <c r="A4" s="5" t="s">
        <v>29</v>
      </c>
      <c r="B4" s="7" t="s">
        <v>30</v>
      </c>
      <c r="C4" s="5" t="s">
        <v>61</v>
      </c>
      <c r="D4" s="5" t="s">
        <v>50</v>
      </c>
    </row>
    <row r="5" spans="1:4" x14ac:dyDescent="0.45">
      <c r="A5" s="5" t="s">
        <v>31</v>
      </c>
      <c r="B5" s="11" t="s">
        <v>273</v>
      </c>
      <c r="C5" s="5" t="s">
        <v>62</v>
      </c>
      <c r="D5" s="5" t="s">
        <v>51</v>
      </c>
    </row>
    <row r="6" spans="1:4" x14ac:dyDescent="0.45">
      <c r="A6" s="122" t="s">
        <v>32</v>
      </c>
      <c r="B6" s="123" t="s">
        <v>33</v>
      </c>
      <c r="C6" s="122" t="s">
        <v>63</v>
      </c>
      <c r="D6" s="122" t="s">
        <v>52</v>
      </c>
    </row>
    <row r="7" spans="1:4" x14ac:dyDescent="0.45">
      <c r="A7" s="124" t="s">
        <v>290</v>
      </c>
      <c r="B7" s="125" t="s">
        <v>291</v>
      </c>
      <c r="C7" s="124" t="s">
        <v>292</v>
      </c>
      <c r="D7" s="124" t="s">
        <v>293</v>
      </c>
    </row>
  </sheetData>
  <hyperlinks>
    <hyperlink ref="B5" r:id="rId1" xr:uid="{1FDD6999-C09D-411D-90C4-40088F1BE237}"/>
    <hyperlink ref="B7" r:id="rId2" xr:uid="{30729817-0AEA-4BF2-B932-4CB3CC652B6A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74282-D6FE-451B-9028-004D742334BE}">
  <sheetPr codeName="Sheet5"/>
  <dimension ref="A1:E5"/>
  <sheetViews>
    <sheetView workbookViewId="0">
      <selection sqref="A1:E5"/>
    </sheetView>
  </sheetViews>
  <sheetFormatPr defaultRowHeight="14.25" x14ac:dyDescent="0.45"/>
  <cols>
    <col min="1" max="1" width="20.9296875" bestFit="1" customWidth="1"/>
    <col min="2" max="2" width="11.3984375" bestFit="1" customWidth="1"/>
    <col min="3" max="3" width="14.6640625" bestFit="1" customWidth="1"/>
    <col min="4" max="4" width="14.59765625" bestFit="1" customWidth="1"/>
    <col min="5" max="5" width="64.73046875" bestFit="1" customWidth="1"/>
  </cols>
  <sheetData>
    <row r="1" spans="1:5" x14ac:dyDescent="0.45">
      <c r="A1" s="3" t="s">
        <v>19</v>
      </c>
      <c r="B1" s="3" t="s">
        <v>20</v>
      </c>
      <c r="C1" s="3" t="s">
        <v>21</v>
      </c>
      <c r="D1" s="3" t="s">
        <v>22</v>
      </c>
      <c r="E1" s="3" t="s">
        <v>56</v>
      </c>
    </row>
    <row r="2" spans="1:5" x14ac:dyDescent="0.45">
      <c r="A2" s="5" t="s">
        <v>2</v>
      </c>
      <c r="B2" s="8">
        <v>0.89</v>
      </c>
      <c r="C2" s="5">
        <v>2.4500000000000002</v>
      </c>
      <c r="D2" s="5">
        <v>2.1</v>
      </c>
      <c r="E2" s="5" t="s">
        <v>44</v>
      </c>
    </row>
    <row r="3" spans="1:5" x14ac:dyDescent="0.45">
      <c r="A3" s="5" t="s">
        <v>17</v>
      </c>
      <c r="B3" s="8">
        <v>26.9</v>
      </c>
      <c r="C3" s="5">
        <v>35.200000000000003</v>
      </c>
      <c r="D3" s="5">
        <v>11.5</v>
      </c>
      <c r="E3" s="5" t="s">
        <v>45</v>
      </c>
    </row>
    <row r="4" spans="1:5" x14ac:dyDescent="0.45">
      <c r="A4" s="5" t="s">
        <v>8</v>
      </c>
      <c r="B4" s="8">
        <v>1.1599999999999999</v>
      </c>
      <c r="C4" s="5">
        <v>0.52</v>
      </c>
      <c r="D4" s="5">
        <v>0.85</v>
      </c>
      <c r="E4" s="5" t="s">
        <v>46</v>
      </c>
    </row>
    <row r="5" spans="1:5" x14ac:dyDescent="0.45">
      <c r="A5" s="5" t="s">
        <v>23</v>
      </c>
      <c r="B5" s="8">
        <v>152</v>
      </c>
      <c r="C5" s="5">
        <v>38</v>
      </c>
      <c r="D5" s="5">
        <v>12</v>
      </c>
      <c r="E5" s="5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0"/>
  <sheetViews>
    <sheetView showGridLines="0" zoomScale="73" workbookViewId="0">
      <selection activeCell="A30" sqref="A30"/>
    </sheetView>
  </sheetViews>
  <sheetFormatPr defaultRowHeight="14.25" x14ac:dyDescent="0.45"/>
  <cols>
    <col min="1" max="1" width="25.19921875" bestFit="1" customWidth="1"/>
    <col min="2" max="2" width="11.3984375" bestFit="1" customWidth="1"/>
    <col min="3" max="3" width="14.6640625" bestFit="1" customWidth="1"/>
    <col min="4" max="4" width="14.59765625" bestFit="1" customWidth="1"/>
    <col min="5" max="5" width="68" bestFit="1" customWidth="1"/>
  </cols>
  <sheetData>
    <row r="1" spans="1:5" x14ac:dyDescent="0.45">
      <c r="A1" s="160" t="s">
        <v>275</v>
      </c>
      <c r="B1" s="160"/>
      <c r="C1" s="160"/>
      <c r="D1" s="160"/>
      <c r="E1" s="1"/>
    </row>
    <row r="2" spans="1:5" x14ac:dyDescent="0.45">
      <c r="A2" s="76" t="s">
        <v>276</v>
      </c>
      <c r="B2" s="76" t="s">
        <v>277</v>
      </c>
      <c r="C2" s="76" t="s">
        <v>278</v>
      </c>
      <c r="D2" s="76" t="s">
        <v>279</v>
      </c>
      <c r="E2" s="1"/>
    </row>
    <row r="3" spans="1:5" x14ac:dyDescent="0.45">
      <c r="A3" s="1" t="s">
        <v>280</v>
      </c>
      <c r="B3" s="1">
        <v>32.590000000000003</v>
      </c>
      <c r="C3" s="1">
        <v>24.88</v>
      </c>
      <c r="D3" s="1">
        <v>8.73</v>
      </c>
      <c r="E3" s="1"/>
    </row>
    <row r="4" spans="1:5" x14ac:dyDescent="0.45">
      <c r="A4" s="1" t="s">
        <v>281</v>
      </c>
      <c r="B4" s="1">
        <v>25.58</v>
      </c>
      <c r="C4" s="1">
        <v>17.52</v>
      </c>
      <c r="D4" s="1">
        <v>10.050000000000001</v>
      </c>
      <c r="E4" s="1"/>
    </row>
    <row r="5" spans="1:5" x14ac:dyDescent="0.45">
      <c r="A5" s="1" t="s">
        <v>282</v>
      </c>
      <c r="B5" s="1">
        <v>27.62</v>
      </c>
      <c r="C5" s="1">
        <v>23.65</v>
      </c>
      <c r="D5" s="1">
        <v>8.82</v>
      </c>
      <c r="E5" s="1"/>
    </row>
    <row r="6" spans="1:5" x14ac:dyDescent="0.45">
      <c r="A6" s="1" t="s">
        <v>283</v>
      </c>
      <c r="B6" s="1">
        <v>27.48</v>
      </c>
      <c r="C6" s="1">
        <v>16.04</v>
      </c>
      <c r="D6" s="1">
        <v>8.1300000000000008</v>
      </c>
      <c r="E6" s="1"/>
    </row>
    <row r="7" spans="1:5" ht="14.65" thickBot="1" x14ac:dyDescent="0.5">
      <c r="A7" s="1" t="s">
        <v>284</v>
      </c>
      <c r="B7" s="1">
        <v>29.78</v>
      </c>
      <c r="C7" s="1">
        <v>16.09</v>
      </c>
      <c r="D7" s="1">
        <v>3.27</v>
      </c>
      <c r="E7" s="1"/>
    </row>
    <row r="8" spans="1:5" ht="14.65" thickTop="1" x14ac:dyDescent="0.45">
      <c r="A8" s="77" t="s">
        <v>285</v>
      </c>
      <c r="B8" s="78">
        <f>AVERAGE(B4:B7)</f>
        <v>27.615000000000002</v>
      </c>
      <c r="C8" s="79">
        <f>AVERAGE(C4:C7)</f>
        <v>18.324999999999999</v>
      </c>
      <c r="D8" s="79">
        <f>AVERAGE(D2:D7)</f>
        <v>7.8000000000000016</v>
      </c>
      <c r="E8" s="1"/>
    </row>
    <row r="9" spans="1:5" x14ac:dyDescent="0.45">
      <c r="A9" s="1"/>
      <c r="B9" s="1"/>
      <c r="C9" s="1"/>
      <c r="D9" s="1"/>
      <c r="E9" s="1"/>
    </row>
    <row r="10" spans="1:5" x14ac:dyDescent="0.45">
      <c r="A10" s="80" t="s">
        <v>286</v>
      </c>
      <c r="B10" s="121">
        <v>210.12</v>
      </c>
      <c r="C10" s="1"/>
      <c r="D10" s="1"/>
      <c r="E10" s="1"/>
    </row>
  </sheetData>
  <mergeCells count="1">
    <mergeCell ref="A1:D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444EC-D4CA-430A-A96A-68FC333953D7}">
  <sheetPr codeName="Sheet8"/>
  <dimension ref="A1:T40"/>
  <sheetViews>
    <sheetView zoomScale="69" workbookViewId="0"/>
  </sheetViews>
  <sheetFormatPr defaultRowHeight="12.75" x14ac:dyDescent="0.35"/>
  <cols>
    <col min="1" max="1" width="45.59765625" style="99" customWidth="1"/>
    <col min="2" max="2" width="12.59765625" style="99" bestFit="1" customWidth="1"/>
    <col min="3" max="3" width="8.46484375" style="99" bestFit="1" customWidth="1"/>
    <col min="4" max="5" width="12.59765625" style="99" bestFit="1" customWidth="1"/>
    <col min="6" max="6" width="6.6640625" style="99" bestFit="1" customWidth="1"/>
    <col min="7" max="16384" width="9.06640625" style="99"/>
  </cols>
  <sheetData>
    <row r="1" spans="1:20" ht="22.05" customHeight="1" x14ac:dyDescent="0.35">
      <c r="A1" s="14"/>
      <c r="B1" s="17">
        <v>45930</v>
      </c>
      <c r="C1" s="17">
        <v>45565</v>
      </c>
      <c r="D1" s="17">
        <v>45199</v>
      </c>
      <c r="E1" s="17">
        <v>44834</v>
      </c>
      <c r="F1" s="17">
        <v>44469</v>
      </c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</row>
    <row r="2" spans="1:20" x14ac:dyDescent="0.35">
      <c r="A2" s="100" t="s">
        <v>114</v>
      </c>
      <c r="B2" s="108">
        <v>0</v>
      </c>
      <c r="C2" s="108">
        <v>0</v>
      </c>
      <c r="D2" s="108">
        <v>0</v>
      </c>
      <c r="E2" s="108">
        <v>0</v>
      </c>
      <c r="F2" s="108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</row>
    <row r="3" spans="1:20" x14ac:dyDescent="0.35">
      <c r="A3" s="100" t="s">
        <v>115</v>
      </c>
      <c r="B3" s="108">
        <v>0.156</v>
      </c>
      <c r="C3" s="108">
        <v>0.24099999999999999</v>
      </c>
      <c r="D3" s="108">
        <v>0.14699999999999999</v>
      </c>
      <c r="E3" s="108">
        <v>0.16200000000000001</v>
      </c>
      <c r="F3" s="108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</row>
    <row r="4" spans="1:20" ht="13.15" x14ac:dyDescent="0.35">
      <c r="A4" s="102" t="s">
        <v>116</v>
      </c>
      <c r="B4" s="109">
        <v>144748</v>
      </c>
      <c r="C4" s="109">
        <v>134661</v>
      </c>
      <c r="D4" s="109">
        <v>125820</v>
      </c>
      <c r="E4" s="109">
        <v>130541</v>
      </c>
      <c r="F4" s="109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</row>
    <row r="5" spans="1:20" ht="13.5" thickBot="1" x14ac:dyDescent="0.4">
      <c r="A5" s="104" t="s">
        <v>117</v>
      </c>
      <c r="B5" s="110">
        <v>112010</v>
      </c>
      <c r="C5" s="110">
        <v>93736</v>
      </c>
      <c r="D5" s="110">
        <v>96995</v>
      </c>
      <c r="E5" s="110">
        <v>99803</v>
      </c>
      <c r="F5" s="11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</row>
    <row r="6" spans="1:20" ht="13.15" thickTop="1" x14ac:dyDescent="0.35">
      <c r="A6" s="100" t="s">
        <v>118</v>
      </c>
      <c r="B6" s="108">
        <v>11698</v>
      </c>
      <c r="C6" s="108">
        <v>11445</v>
      </c>
      <c r="D6" s="108">
        <v>11519</v>
      </c>
      <c r="E6" s="108">
        <v>11104</v>
      </c>
      <c r="F6" s="108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</row>
    <row r="7" spans="1:20" ht="13.15" x14ac:dyDescent="0.35">
      <c r="A7" s="102" t="s">
        <v>119</v>
      </c>
      <c r="B7" s="109">
        <v>220960</v>
      </c>
      <c r="C7" s="109">
        <v>210352</v>
      </c>
      <c r="D7" s="109">
        <v>214137</v>
      </c>
      <c r="E7" s="109">
        <v>223546</v>
      </c>
      <c r="F7" s="109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</row>
    <row r="8" spans="1:20" ht="13.15" x14ac:dyDescent="0.35">
      <c r="A8" s="102" t="s">
        <v>120</v>
      </c>
      <c r="B8" s="109">
        <v>144748</v>
      </c>
      <c r="C8" s="109">
        <v>134661</v>
      </c>
      <c r="D8" s="109">
        <v>125820</v>
      </c>
      <c r="E8" s="109">
        <v>130541</v>
      </c>
      <c r="F8" s="109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</row>
    <row r="9" spans="1:20" ht="13.15" x14ac:dyDescent="0.35">
      <c r="A9" s="102" t="s">
        <v>121</v>
      </c>
      <c r="B9" s="109">
        <v>133050</v>
      </c>
      <c r="C9" s="109">
        <v>123216</v>
      </c>
      <c r="D9" s="109">
        <v>114301</v>
      </c>
      <c r="E9" s="109">
        <v>119437</v>
      </c>
      <c r="F9" s="109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</row>
    <row r="10" spans="1:20" x14ac:dyDescent="0.35">
      <c r="A10" s="100" t="s">
        <v>122</v>
      </c>
      <c r="B10" s="108"/>
      <c r="C10" s="108"/>
      <c r="D10" s="108">
        <v>-183000000</v>
      </c>
      <c r="E10" s="108">
        <v>-106000000</v>
      </c>
      <c r="F10" s="108">
        <v>198</v>
      </c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</row>
    <row r="11" spans="1:20" x14ac:dyDescent="0.35">
      <c r="A11" s="100" t="s">
        <v>123</v>
      </c>
      <c r="B11" s="108"/>
      <c r="C11" s="108"/>
      <c r="D11" s="108">
        <v>3933</v>
      </c>
      <c r="E11" s="108">
        <v>2931</v>
      </c>
      <c r="F11" s="108">
        <v>2645</v>
      </c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</row>
    <row r="12" spans="1:20" x14ac:dyDescent="0.35">
      <c r="A12" s="100" t="s">
        <v>124</v>
      </c>
      <c r="B12" s="108"/>
      <c r="C12" s="108"/>
      <c r="D12" s="108">
        <v>3750</v>
      </c>
      <c r="E12" s="108">
        <v>2825</v>
      </c>
      <c r="F12" s="108">
        <v>2843</v>
      </c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</row>
    <row r="13" spans="1:20" x14ac:dyDescent="0.35">
      <c r="A13" s="100" t="s">
        <v>125</v>
      </c>
      <c r="B13" s="108">
        <v>112010</v>
      </c>
      <c r="C13" s="108">
        <v>93736</v>
      </c>
      <c r="D13" s="108">
        <v>96995</v>
      </c>
      <c r="E13" s="108">
        <v>99803</v>
      </c>
      <c r="F13" s="108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</row>
    <row r="14" spans="1:20" ht="13.5" thickBot="1" x14ac:dyDescent="0.4">
      <c r="A14" s="104" t="s">
        <v>126</v>
      </c>
      <c r="B14" s="110">
        <v>112010</v>
      </c>
      <c r="C14" s="110">
        <v>93736</v>
      </c>
      <c r="D14" s="110">
        <v>96995</v>
      </c>
      <c r="E14" s="110">
        <v>99803</v>
      </c>
      <c r="F14" s="11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</row>
    <row r="15" spans="1:20" ht="13.5" thickTop="1" x14ac:dyDescent="0.35">
      <c r="A15" s="105" t="s">
        <v>127</v>
      </c>
      <c r="B15" s="111">
        <v>283111</v>
      </c>
      <c r="C15" s="111">
        <v>267819</v>
      </c>
      <c r="D15" s="111">
        <v>268984</v>
      </c>
      <c r="E15" s="111">
        <v>274891</v>
      </c>
      <c r="F15" s="111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</row>
    <row r="16" spans="1:20" ht="13.15" x14ac:dyDescent="0.35">
      <c r="A16" s="101" t="s">
        <v>128</v>
      </c>
      <c r="B16" s="112">
        <v>133050</v>
      </c>
      <c r="C16" s="112">
        <v>123216</v>
      </c>
      <c r="D16" s="112">
        <v>114301</v>
      </c>
      <c r="E16" s="112">
        <v>119437</v>
      </c>
      <c r="F16" s="112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</row>
    <row r="17" spans="1:20" x14ac:dyDescent="0.35">
      <c r="A17" s="100" t="s">
        <v>129</v>
      </c>
      <c r="B17" s="108">
        <v>15004.697</v>
      </c>
      <c r="C17" s="108">
        <v>15408.094999999999</v>
      </c>
      <c r="D17" s="108">
        <v>15812.547</v>
      </c>
      <c r="E17" s="108">
        <v>16325.819</v>
      </c>
      <c r="F17" s="108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</row>
    <row r="18" spans="1:20" x14ac:dyDescent="0.35">
      <c r="A18" s="100" t="s">
        <v>130</v>
      </c>
      <c r="B18" s="108">
        <v>14948.5</v>
      </c>
      <c r="C18" s="108">
        <v>15343.782999999999</v>
      </c>
      <c r="D18" s="108">
        <v>15744.231</v>
      </c>
      <c r="E18" s="108">
        <v>16215.963</v>
      </c>
      <c r="F18" s="108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</row>
    <row r="19" spans="1:20" x14ac:dyDescent="0.35">
      <c r="A19" s="100" t="s">
        <v>131</v>
      </c>
      <c r="B19" s="108">
        <v>7.46</v>
      </c>
      <c r="C19" s="108">
        <v>6.08</v>
      </c>
      <c r="D19" s="108">
        <v>6.13</v>
      </c>
      <c r="E19" s="108">
        <v>6.11</v>
      </c>
      <c r="F19" s="108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</row>
    <row r="20" spans="1:20" x14ac:dyDescent="0.35">
      <c r="A20" s="100" t="s">
        <v>132</v>
      </c>
      <c r="B20" s="108">
        <v>7.49</v>
      </c>
      <c r="C20" s="108">
        <v>6.11</v>
      </c>
      <c r="D20" s="108">
        <v>6.16</v>
      </c>
      <c r="E20" s="108">
        <v>6.15</v>
      </c>
      <c r="F20" s="108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</row>
    <row r="21" spans="1:20" x14ac:dyDescent="0.35">
      <c r="A21" s="100" t="s">
        <v>133</v>
      </c>
      <c r="B21" s="108">
        <v>112010</v>
      </c>
      <c r="C21" s="108">
        <v>93736</v>
      </c>
      <c r="D21" s="108">
        <v>96995</v>
      </c>
      <c r="E21" s="108">
        <v>99803</v>
      </c>
      <c r="F21" s="108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</row>
    <row r="22" spans="1:20" ht="13.5" thickBot="1" x14ac:dyDescent="0.4">
      <c r="A22" s="103" t="s">
        <v>134</v>
      </c>
      <c r="B22" s="113">
        <v>112010</v>
      </c>
      <c r="C22" s="113">
        <v>93736</v>
      </c>
      <c r="D22" s="113">
        <v>96995</v>
      </c>
      <c r="E22" s="113">
        <v>99803</v>
      </c>
      <c r="F22" s="113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</row>
    <row r="23" spans="1:20" ht="13.9" thickTop="1" thickBot="1" x14ac:dyDescent="0.4">
      <c r="A23" s="107" t="s">
        <v>16</v>
      </c>
      <c r="B23" s="114">
        <v>112010</v>
      </c>
      <c r="C23" s="114">
        <v>93736</v>
      </c>
      <c r="D23" s="114">
        <v>96995</v>
      </c>
      <c r="E23" s="114">
        <v>99803</v>
      </c>
      <c r="F23" s="114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</row>
    <row r="24" spans="1:20" ht="13.9" thickTop="1" thickBot="1" x14ac:dyDescent="0.4">
      <c r="A24" s="107" t="s">
        <v>135</v>
      </c>
      <c r="B24" s="114">
        <v>112010</v>
      </c>
      <c r="C24" s="114">
        <v>93736</v>
      </c>
      <c r="D24" s="114">
        <v>96995</v>
      </c>
      <c r="E24" s="114">
        <v>99803</v>
      </c>
      <c r="F24" s="114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</row>
    <row r="25" spans="1:20" ht="13.9" thickTop="1" thickBot="1" x14ac:dyDescent="0.4">
      <c r="A25" s="106" t="s">
        <v>136</v>
      </c>
      <c r="B25" s="115">
        <v>112010</v>
      </c>
      <c r="C25" s="115">
        <v>93736</v>
      </c>
      <c r="D25" s="115">
        <v>96995</v>
      </c>
      <c r="E25" s="115">
        <v>99803</v>
      </c>
      <c r="F25" s="115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</row>
    <row r="26" spans="1:20" ht="13.15" thickTop="1" x14ac:dyDescent="0.35">
      <c r="A26" s="100" t="s">
        <v>137</v>
      </c>
      <c r="B26" s="108">
        <v>20719</v>
      </c>
      <c r="C26" s="108">
        <v>29749</v>
      </c>
      <c r="D26" s="108">
        <v>16741</v>
      </c>
      <c r="E26" s="108">
        <v>19300</v>
      </c>
      <c r="F26" s="108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</row>
    <row r="27" spans="1:20" x14ac:dyDescent="0.35">
      <c r="A27" s="100" t="s">
        <v>138</v>
      </c>
      <c r="B27" s="108">
        <v>132729</v>
      </c>
      <c r="C27" s="108">
        <v>123485</v>
      </c>
      <c r="D27" s="108">
        <v>113736</v>
      </c>
      <c r="E27" s="108">
        <v>119103</v>
      </c>
      <c r="F27" s="108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</row>
    <row r="28" spans="1:20" x14ac:dyDescent="0.35">
      <c r="A28" s="100" t="s">
        <v>139</v>
      </c>
      <c r="B28" s="108">
        <v>-321000000</v>
      </c>
      <c r="C28" s="108">
        <v>269</v>
      </c>
      <c r="D28" s="108">
        <v>-565000000</v>
      </c>
      <c r="E28" s="108">
        <v>-334000000</v>
      </c>
      <c r="F28" s="108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</row>
    <row r="29" spans="1:20" x14ac:dyDescent="0.35">
      <c r="A29" s="100" t="s">
        <v>140</v>
      </c>
      <c r="B29" s="108">
        <v>-321000000</v>
      </c>
      <c r="C29" s="108">
        <v>269</v>
      </c>
      <c r="D29" s="108">
        <v>-565000000</v>
      </c>
      <c r="E29" s="108">
        <v>-334000000</v>
      </c>
      <c r="F29" s="108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</row>
    <row r="30" spans="1:20" x14ac:dyDescent="0.35">
      <c r="A30" s="100" t="s">
        <v>141</v>
      </c>
      <c r="B30" s="108"/>
      <c r="C30" s="108"/>
      <c r="D30" s="108">
        <v>-183000000</v>
      </c>
      <c r="E30" s="108">
        <v>-106000000</v>
      </c>
      <c r="F30" s="108">
        <v>198</v>
      </c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</row>
    <row r="31" spans="1:20" x14ac:dyDescent="0.35">
      <c r="A31" s="100" t="s">
        <v>142</v>
      </c>
      <c r="B31" s="108"/>
      <c r="C31" s="108"/>
      <c r="D31" s="108">
        <v>3933</v>
      </c>
      <c r="E31" s="108">
        <v>2931</v>
      </c>
      <c r="F31" s="108">
        <v>2645</v>
      </c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</row>
    <row r="32" spans="1:20" x14ac:dyDescent="0.35">
      <c r="A32" s="100" t="s">
        <v>143</v>
      </c>
      <c r="B32" s="108"/>
      <c r="C32" s="108"/>
      <c r="D32" s="108">
        <v>3750</v>
      </c>
      <c r="E32" s="108">
        <v>2825</v>
      </c>
      <c r="F32" s="108">
        <v>2843</v>
      </c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</row>
    <row r="33" spans="1:20" x14ac:dyDescent="0.35">
      <c r="A33" s="100" t="s">
        <v>144</v>
      </c>
      <c r="B33" s="108">
        <v>133050</v>
      </c>
      <c r="C33" s="108">
        <v>123216</v>
      </c>
      <c r="D33" s="108">
        <v>114301</v>
      </c>
      <c r="E33" s="108">
        <v>119437</v>
      </c>
      <c r="F33" s="108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</row>
    <row r="34" spans="1:20" x14ac:dyDescent="0.35">
      <c r="A34" s="100" t="s">
        <v>145</v>
      </c>
      <c r="B34" s="108">
        <v>62151</v>
      </c>
      <c r="C34" s="108">
        <v>57467</v>
      </c>
      <c r="D34" s="108">
        <v>54847</v>
      </c>
      <c r="E34" s="108">
        <v>51345</v>
      </c>
      <c r="F34" s="108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</row>
    <row r="35" spans="1:20" x14ac:dyDescent="0.35">
      <c r="A35" s="100" t="s">
        <v>146</v>
      </c>
      <c r="B35" s="108">
        <v>34550</v>
      </c>
      <c r="C35" s="108">
        <v>31370</v>
      </c>
      <c r="D35" s="108">
        <v>29915</v>
      </c>
      <c r="E35" s="108">
        <v>26251</v>
      </c>
      <c r="F35" s="108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</row>
    <row r="36" spans="1:20" x14ac:dyDescent="0.35">
      <c r="A36" s="100" t="s">
        <v>147</v>
      </c>
      <c r="B36" s="108">
        <v>27601</v>
      </c>
      <c r="C36" s="108">
        <v>26097</v>
      </c>
      <c r="D36" s="108">
        <v>24932</v>
      </c>
      <c r="E36" s="108">
        <v>25094</v>
      </c>
      <c r="F36" s="108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</row>
    <row r="37" spans="1:20" x14ac:dyDescent="0.35">
      <c r="A37" s="100" t="s">
        <v>148</v>
      </c>
      <c r="B37" s="108">
        <v>195201</v>
      </c>
      <c r="C37" s="108">
        <v>180683</v>
      </c>
      <c r="D37" s="108">
        <v>169148</v>
      </c>
      <c r="E37" s="108">
        <v>170782</v>
      </c>
      <c r="F37" s="108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</row>
    <row r="38" spans="1:20" ht="13.15" x14ac:dyDescent="0.35">
      <c r="A38" s="102" t="s">
        <v>149</v>
      </c>
      <c r="B38" s="109">
        <v>220960</v>
      </c>
      <c r="C38" s="109">
        <v>210352</v>
      </c>
      <c r="D38" s="109">
        <v>214137</v>
      </c>
      <c r="E38" s="109">
        <v>223546</v>
      </c>
      <c r="F38" s="109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</row>
    <row r="39" spans="1:20" ht="13.15" x14ac:dyDescent="0.35">
      <c r="A39" s="102" t="s">
        <v>150</v>
      </c>
      <c r="B39" s="109">
        <v>416161</v>
      </c>
      <c r="C39" s="109">
        <v>391035</v>
      </c>
      <c r="D39" s="109">
        <v>383285</v>
      </c>
      <c r="E39" s="109">
        <v>394328</v>
      </c>
      <c r="F39" s="109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</row>
    <row r="40" spans="1:20" ht="13.15" x14ac:dyDescent="0.35">
      <c r="A40" s="102" t="s">
        <v>151</v>
      </c>
      <c r="B40" s="109">
        <v>416161</v>
      </c>
      <c r="C40" s="109">
        <v>391035</v>
      </c>
      <c r="D40" s="109">
        <v>383285</v>
      </c>
      <c r="E40" s="109">
        <v>394328</v>
      </c>
      <c r="F40" s="109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2FDAB-5C06-4625-8855-01298E668E5C}">
  <sheetPr codeName="Sheet9"/>
  <dimension ref="A1:T70"/>
  <sheetViews>
    <sheetView showGridLines="0" zoomScale="58" workbookViewId="0"/>
  </sheetViews>
  <sheetFormatPr defaultRowHeight="12.75" x14ac:dyDescent="0.35"/>
  <cols>
    <col min="1" max="1" width="45.59765625" style="99" customWidth="1"/>
    <col min="2" max="5" width="15.265625" style="99" bestFit="1" customWidth="1"/>
    <col min="6" max="6" width="8.59765625" style="99" bestFit="1" customWidth="1"/>
    <col min="7" max="16384" width="9.06640625" style="99"/>
  </cols>
  <sheetData>
    <row r="1" spans="1:20" ht="22.05" customHeight="1" x14ac:dyDescent="0.35">
      <c r="A1" s="14"/>
      <c r="B1" s="17">
        <v>45930</v>
      </c>
      <c r="C1" s="17">
        <v>45565</v>
      </c>
      <c r="D1" s="17">
        <v>45199</v>
      </c>
      <c r="E1" s="17">
        <v>44834</v>
      </c>
      <c r="F1" s="17">
        <v>44469</v>
      </c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</row>
    <row r="2" spans="1:20" x14ac:dyDescent="0.35">
      <c r="A2" s="100" t="s">
        <v>152</v>
      </c>
      <c r="B2" s="108"/>
      <c r="C2" s="108"/>
      <c r="D2" s="108">
        <v>0</v>
      </c>
      <c r="E2" s="108"/>
      <c r="F2" s="108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</row>
    <row r="3" spans="1:20" x14ac:dyDescent="0.35">
      <c r="A3" s="100" t="s">
        <v>153</v>
      </c>
      <c r="B3" s="108">
        <v>14773.26</v>
      </c>
      <c r="C3" s="108">
        <v>15116.786</v>
      </c>
      <c r="D3" s="108">
        <v>15550.061</v>
      </c>
      <c r="E3" s="108">
        <v>15943.424999999999</v>
      </c>
      <c r="F3" s="108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</row>
    <row r="4" spans="1:20" x14ac:dyDescent="0.35">
      <c r="A4" s="100" t="s">
        <v>154</v>
      </c>
      <c r="B4" s="108">
        <v>14773.26</v>
      </c>
      <c r="C4" s="108">
        <v>15116.786</v>
      </c>
      <c r="D4" s="108">
        <v>15550.061</v>
      </c>
      <c r="E4" s="108">
        <v>15943.424999999999</v>
      </c>
      <c r="F4" s="108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</row>
    <row r="5" spans="1:20" ht="13.15" x14ac:dyDescent="0.35">
      <c r="A5" s="102" t="s">
        <v>155</v>
      </c>
      <c r="B5" s="109">
        <v>62723</v>
      </c>
      <c r="C5" s="109">
        <v>76686</v>
      </c>
      <c r="D5" s="109">
        <v>81123</v>
      </c>
      <c r="E5" s="109">
        <v>96423</v>
      </c>
      <c r="F5" s="109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</row>
    <row r="6" spans="1:20" ht="13.15" x14ac:dyDescent="0.35">
      <c r="A6" s="103" t="s">
        <v>156</v>
      </c>
      <c r="B6" s="113">
        <v>98657</v>
      </c>
      <c r="C6" s="113">
        <v>106629</v>
      </c>
      <c r="D6" s="113">
        <v>111088</v>
      </c>
      <c r="E6" s="113">
        <v>132480</v>
      </c>
      <c r="F6" s="113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</row>
    <row r="7" spans="1:20" x14ac:dyDescent="0.35">
      <c r="A7" s="100" t="s">
        <v>157</v>
      </c>
      <c r="B7" s="108">
        <v>73733</v>
      </c>
      <c r="C7" s="108">
        <v>56950</v>
      </c>
      <c r="D7" s="108">
        <v>62146</v>
      </c>
      <c r="E7" s="108">
        <v>50672</v>
      </c>
      <c r="F7" s="108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</row>
    <row r="8" spans="1:20" x14ac:dyDescent="0.35">
      <c r="A8" s="100" t="s">
        <v>158</v>
      </c>
      <c r="B8" s="108">
        <v>172390</v>
      </c>
      <c r="C8" s="108">
        <v>163579</v>
      </c>
      <c r="D8" s="108">
        <v>173234</v>
      </c>
      <c r="E8" s="108">
        <v>170741</v>
      </c>
      <c r="F8" s="108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</row>
    <row r="9" spans="1:20" x14ac:dyDescent="0.35">
      <c r="A9" s="100" t="s">
        <v>159</v>
      </c>
      <c r="B9" s="108">
        <v>-17674000000</v>
      </c>
      <c r="C9" s="108">
        <v>-23405000000</v>
      </c>
      <c r="D9" s="108">
        <v>-1742000000</v>
      </c>
      <c r="E9" s="108">
        <v>-18577000000</v>
      </c>
      <c r="F9" s="108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</row>
    <row r="10" spans="1:20" x14ac:dyDescent="0.35">
      <c r="A10" s="100" t="s">
        <v>160</v>
      </c>
      <c r="B10" s="108">
        <v>73733</v>
      </c>
      <c r="C10" s="108">
        <v>56950</v>
      </c>
      <c r="D10" s="108">
        <v>62146</v>
      </c>
      <c r="E10" s="108">
        <v>50672</v>
      </c>
      <c r="F10" s="108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</row>
    <row r="11" spans="1:20" x14ac:dyDescent="0.35">
      <c r="A11" s="100" t="s">
        <v>161</v>
      </c>
      <c r="B11" s="108"/>
      <c r="C11" s="108"/>
      <c r="D11" s="108">
        <v>12842</v>
      </c>
      <c r="E11" s="108">
        <v>12411</v>
      </c>
      <c r="F11" s="108">
        <v>11803</v>
      </c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</row>
    <row r="12" spans="1:20" ht="13.15" x14ac:dyDescent="0.35">
      <c r="A12" s="102" t="s">
        <v>162</v>
      </c>
      <c r="B12" s="109">
        <v>73733</v>
      </c>
      <c r="C12" s="109">
        <v>56950</v>
      </c>
      <c r="D12" s="109">
        <v>62146</v>
      </c>
      <c r="E12" s="109">
        <v>50672</v>
      </c>
      <c r="F12" s="109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</row>
    <row r="13" spans="1:20" ht="13.15" x14ac:dyDescent="0.35">
      <c r="A13" s="102" t="s">
        <v>163</v>
      </c>
      <c r="B13" s="109">
        <v>152061</v>
      </c>
      <c r="C13" s="109">
        <v>142700</v>
      </c>
      <c r="D13" s="109">
        <v>157427</v>
      </c>
      <c r="E13" s="109">
        <v>149631</v>
      </c>
      <c r="F13" s="109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</row>
    <row r="14" spans="1:20" ht="13.15" x14ac:dyDescent="0.35">
      <c r="A14" s="103" t="s">
        <v>164</v>
      </c>
      <c r="B14" s="113">
        <v>73733</v>
      </c>
      <c r="C14" s="113">
        <v>56950</v>
      </c>
      <c r="D14" s="113">
        <v>62146</v>
      </c>
      <c r="E14" s="113">
        <v>50672</v>
      </c>
      <c r="F14" s="113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</row>
    <row r="15" spans="1:20" ht="13.15" x14ac:dyDescent="0.35">
      <c r="A15" s="103" t="s">
        <v>165</v>
      </c>
      <c r="B15" s="113">
        <v>73733</v>
      </c>
      <c r="C15" s="113">
        <v>56950</v>
      </c>
      <c r="D15" s="113">
        <v>62146</v>
      </c>
      <c r="E15" s="113">
        <v>50672</v>
      </c>
      <c r="F15" s="113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</row>
    <row r="16" spans="1:20" x14ac:dyDescent="0.35">
      <c r="A16" s="100" t="s">
        <v>166</v>
      </c>
      <c r="B16" s="108">
        <v>-5571000000</v>
      </c>
      <c r="C16" s="108">
        <v>-7172000000</v>
      </c>
      <c r="D16" s="108">
        <v>-11452000000</v>
      </c>
      <c r="E16" s="108">
        <v>-11109000000</v>
      </c>
      <c r="F16" s="108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</row>
    <row r="17" spans="1:20" ht="13.15" x14ac:dyDescent="0.35">
      <c r="A17" s="103" t="s">
        <v>167</v>
      </c>
      <c r="B17" s="113">
        <v>-5571000000</v>
      </c>
      <c r="C17" s="113">
        <v>-7172000000</v>
      </c>
      <c r="D17" s="113">
        <v>-11452000000</v>
      </c>
      <c r="E17" s="113">
        <v>-11109000000</v>
      </c>
      <c r="F17" s="113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</row>
    <row r="18" spans="1:20" x14ac:dyDescent="0.35">
      <c r="A18" s="100" t="s">
        <v>168</v>
      </c>
      <c r="B18" s="108">
        <v>-14264000000</v>
      </c>
      <c r="C18" s="108">
        <v>-19154000000</v>
      </c>
      <c r="D18" s="108">
        <v>-214000000</v>
      </c>
      <c r="E18" s="108">
        <v>-3068000000</v>
      </c>
      <c r="F18" s="108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</row>
    <row r="19" spans="1:20" x14ac:dyDescent="0.35">
      <c r="A19" s="100" t="s">
        <v>169</v>
      </c>
      <c r="B19" s="108">
        <v>93568</v>
      </c>
      <c r="C19" s="108">
        <v>83276</v>
      </c>
      <c r="D19" s="108">
        <v>73812</v>
      </c>
      <c r="E19" s="108">
        <v>64849</v>
      </c>
      <c r="F19" s="108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</row>
    <row r="20" spans="1:20" x14ac:dyDescent="0.35">
      <c r="A20" s="100" t="s">
        <v>170</v>
      </c>
      <c r="B20" s="108">
        <v>93568</v>
      </c>
      <c r="C20" s="108">
        <v>83276</v>
      </c>
      <c r="D20" s="108">
        <v>73812</v>
      </c>
      <c r="E20" s="108">
        <v>64849</v>
      </c>
      <c r="F20" s="108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</row>
    <row r="21" spans="1:20" ht="13.15" x14ac:dyDescent="0.35">
      <c r="A21" s="102" t="s">
        <v>171</v>
      </c>
      <c r="B21" s="109">
        <v>285508</v>
      </c>
      <c r="C21" s="109">
        <v>308030</v>
      </c>
      <c r="D21" s="109">
        <v>290437</v>
      </c>
      <c r="E21" s="109">
        <v>302083</v>
      </c>
      <c r="F21" s="109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</row>
    <row r="22" spans="1:20" ht="13.15" x14ac:dyDescent="0.35">
      <c r="A22" s="103" t="s">
        <v>172</v>
      </c>
      <c r="B22" s="113">
        <v>119877</v>
      </c>
      <c r="C22" s="113">
        <v>131638</v>
      </c>
      <c r="D22" s="113">
        <v>145129</v>
      </c>
      <c r="E22" s="113">
        <v>148101</v>
      </c>
      <c r="F22" s="113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</row>
    <row r="23" spans="1:20" x14ac:dyDescent="0.35">
      <c r="A23" s="100" t="s">
        <v>173</v>
      </c>
      <c r="B23" s="108">
        <v>41549</v>
      </c>
      <c r="C23" s="108">
        <v>45888</v>
      </c>
      <c r="D23" s="108">
        <v>34391</v>
      </c>
      <c r="E23" s="108">
        <v>21737</v>
      </c>
      <c r="F23" s="108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</row>
    <row r="24" spans="1:20" x14ac:dyDescent="0.35">
      <c r="A24" s="100" t="s">
        <v>174</v>
      </c>
      <c r="B24" s="108"/>
      <c r="C24" s="108">
        <v>9254</v>
      </c>
      <c r="D24" s="108">
        <v>15457</v>
      </c>
      <c r="E24" s="108">
        <v>16657</v>
      </c>
      <c r="F24" s="108">
        <v>24689</v>
      </c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</row>
    <row r="25" spans="1:20" x14ac:dyDescent="0.35">
      <c r="A25" s="100" t="s">
        <v>175</v>
      </c>
      <c r="B25" s="108">
        <v>78328</v>
      </c>
      <c r="C25" s="108">
        <v>85750</v>
      </c>
      <c r="D25" s="108">
        <v>95281</v>
      </c>
      <c r="E25" s="108">
        <v>109707</v>
      </c>
      <c r="F25" s="108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</row>
    <row r="26" spans="1:20" x14ac:dyDescent="0.35">
      <c r="A26" s="100" t="s">
        <v>176</v>
      </c>
      <c r="B26" s="108"/>
      <c r="C26" s="108"/>
      <c r="D26" s="108">
        <v>11267</v>
      </c>
      <c r="E26" s="108">
        <v>10748</v>
      </c>
      <c r="F26" s="108">
        <v>10275</v>
      </c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</row>
    <row r="27" spans="1:20" x14ac:dyDescent="0.35">
      <c r="A27" s="100" t="s">
        <v>177</v>
      </c>
      <c r="B27" s="108">
        <v>78328</v>
      </c>
      <c r="C27" s="108">
        <v>85750</v>
      </c>
      <c r="D27" s="108">
        <v>95281</v>
      </c>
      <c r="E27" s="108">
        <v>98959</v>
      </c>
      <c r="F27" s="108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</row>
    <row r="28" spans="1:20" x14ac:dyDescent="0.35">
      <c r="A28" s="100" t="s">
        <v>178</v>
      </c>
      <c r="B28" s="108">
        <v>165631</v>
      </c>
      <c r="C28" s="108">
        <v>176392</v>
      </c>
      <c r="D28" s="108">
        <v>145308</v>
      </c>
      <c r="E28" s="108">
        <v>153982</v>
      </c>
      <c r="F28" s="108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</row>
    <row r="29" spans="1:20" x14ac:dyDescent="0.35">
      <c r="A29" s="100" t="s">
        <v>179</v>
      </c>
      <c r="B29" s="108">
        <v>44452</v>
      </c>
      <c r="C29" s="108">
        <v>44024</v>
      </c>
      <c r="D29" s="108">
        <v>50010</v>
      </c>
      <c r="E29" s="108">
        <v>52630</v>
      </c>
      <c r="F29" s="108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</row>
    <row r="30" spans="1:20" x14ac:dyDescent="0.35">
      <c r="A30" s="100" t="s">
        <v>180</v>
      </c>
      <c r="B30" s="108">
        <v>9055</v>
      </c>
      <c r="C30" s="108">
        <v>8249</v>
      </c>
      <c r="D30" s="108">
        <v>8061</v>
      </c>
      <c r="E30" s="108">
        <v>7912</v>
      </c>
      <c r="F30" s="108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</row>
    <row r="31" spans="1:20" ht="13.15" x14ac:dyDescent="0.35">
      <c r="A31" s="101" t="s">
        <v>181</v>
      </c>
      <c r="B31" s="112">
        <v>9055</v>
      </c>
      <c r="C31" s="112">
        <v>8249</v>
      </c>
      <c r="D31" s="112">
        <v>8061</v>
      </c>
      <c r="E31" s="112">
        <v>7912</v>
      </c>
      <c r="F31" s="112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</row>
    <row r="32" spans="1:20" x14ac:dyDescent="0.35">
      <c r="A32" s="100" t="s">
        <v>182</v>
      </c>
      <c r="B32" s="108">
        <v>20329</v>
      </c>
      <c r="C32" s="108">
        <v>20879</v>
      </c>
      <c r="D32" s="108">
        <v>15807</v>
      </c>
      <c r="E32" s="108">
        <v>22773</v>
      </c>
      <c r="F32" s="108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</row>
    <row r="33" spans="1:20" x14ac:dyDescent="0.35">
      <c r="A33" s="100" t="s">
        <v>183</v>
      </c>
      <c r="B33" s="108"/>
      <c r="C33" s="108"/>
      <c r="D33" s="108">
        <v>1575</v>
      </c>
      <c r="E33" s="108">
        <v>1663</v>
      </c>
      <c r="F33" s="108">
        <v>1528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</row>
    <row r="34" spans="1:20" x14ac:dyDescent="0.35">
      <c r="A34" s="100" t="s">
        <v>184</v>
      </c>
      <c r="B34" s="108">
        <v>20329</v>
      </c>
      <c r="C34" s="108">
        <v>20879</v>
      </c>
      <c r="D34" s="108">
        <v>15807</v>
      </c>
      <c r="E34" s="108">
        <v>21110</v>
      </c>
      <c r="F34" s="108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</row>
    <row r="35" spans="1:20" x14ac:dyDescent="0.35">
      <c r="A35" s="100" t="s">
        <v>185</v>
      </c>
      <c r="B35" s="108">
        <v>12350</v>
      </c>
      <c r="C35" s="108">
        <v>10912</v>
      </c>
      <c r="D35" s="108">
        <v>9822</v>
      </c>
      <c r="E35" s="108">
        <v>11128</v>
      </c>
      <c r="F35" s="108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</row>
    <row r="36" spans="1:20" x14ac:dyDescent="0.35">
      <c r="A36" s="100" t="s">
        <v>186</v>
      </c>
      <c r="B36" s="108">
        <v>7979</v>
      </c>
      <c r="C36" s="108">
        <v>9967</v>
      </c>
      <c r="D36" s="108">
        <v>5985</v>
      </c>
      <c r="E36" s="108">
        <v>9982</v>
      </c>
      <c r="F36" s="108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</row>
    <row r="37" spans="1:20" x14ac:dyDescent="0.35">
      <c r="A37" s="100" t="s">
        <v>187</v>
      </c>
      <c r="B37" s="108">
        <v>91795</v>
      </c>
      <c r="C37" s="108">
        <v>103240</v>
      </c>
      <c r="D37" s="108">
        <v>71430</v>
      </c>
      <c r="E37" s="108">
        <v>70667</v>
      </c>
      <c r="F37" s="108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</row>
    <row r="38" spans="1:20" x14ac:dyDescent="0.35">
      <c r="A38" s="100" t="s">
        <v>188</v>
      </c>
      <c r="B38" s="108">
        <v>8919</v>
      </c>
      <c r="C38" s="108"/>
      <c r="D38" s="108"/>
      <c r="E38" s="108"/>
      <c r="F38" s="108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</row>
    <row r="39" spans="1:20" x14ac:dyDescent="0.35">
      <c r="A39" s="100" t="s">
        <v>189</v>
      </c>
      <c r="B39" s="108">
        <v>82876</v>
      </c>
      <c r="C39" s="108">
        <v>95561</v>
      </c>
      <c r="D39" s="108">
        <v>71430</v>
      </c>
      <c r="E39" s="108">
        <v>70667</v>
      </c>
      <c r="F39" s="108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</row>
    <row r="40" spans="1:20" ht="13.15" x14ac:dyDescent="0.35">
      <c r="A40" s="103" t="s">
        <v>190</v>
      </c>
      <c r="B40" s="113">
        <v>13016</v>
      </c>
      <c r="C40" s="113">
        <v>26601</v>
      </c>
      <c r="D40" s="113">
        <v>8819</v>
      </c>
      <c r="E40" s="113">
        <v>6552</v>
      </c>
      <c r="F40" s="113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</row>
    <row r="41" spans="1:20" x14ac:dyDescent="0.35">
      <c r="A41" s="100" t="s">
        <v>191</v>
      </c>
      <c r="B41" s="108">
        <v>13016</v>
      </c>
      <c r="C41" s="108">
        <v>26601</v>
      </c>
      <c r="D41" s="108">
        <v>8819</v>
      </c>
      <c r="E41" s="108">
        <v>6552</v>
      </c>
      <c r="F41" s="108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</row>
    <row r="42" spans="1:20" x14ac:dyDescent="0.35">
      <c r="A42" s="100" t="s">
        <v>192</v>
      </c>
      <c r="B42" s="108">
        <v>69860</v>
      </c>
      <c r="C42" s="108">
        <v>68960</v>
      </c>
      <c r="D42" s="108">
        <v>62611</v>
      </c>
      <c r="E42" s="108">
        <v>64115</v>
      </c>
      <c r="F42" s="108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</row>
    <row r="43" spans="1:20" ht="13.15" x14ac:dyDescent="0.35">
      <c r="A43" s="102" t="s">
        <v>193</v>
      </c>
      <c r="B43" s="109">
        <v>359241</v>
      </c>
      <c r="C43" s="109">
        <v>364980</v>
      </c>
      <c r="D43" s="109">
        <v>352583</v>
      </c>
      <c r="E43" s="109">
        <v>352755</v>
      </c>
      <c r="F43" s="109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</row>
    <row r="44" spans="1:20" ht="13.15" x14ac:dyDescent="0.35">
      <c r="A44" s="103" t="s">
        <v>194</v>
      </c>
      <c r="B44" s="113">
        <v>211284</v>
      </c>
      <c r="C44" s="113">
        <v>211993</v>
      </c>
      <c r="D44" s="113">
        <v>209017</v>
      </c>
      <c r="E44" s="113">
        <v>217350</v>
      </c>
      <c r="F44" s="113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</row>
    <row r="45" spans="1:20" x14ac:dyDescent="0.35">
      <c r="A45" s="100" t="s">
        <v>195</v>
      </c>
      <c r="B45" s="108">
        <v>62950</v>
      </c>
      <c r="C45" s="108">
        <v>55335</v>
      </c>
      <c r="D45" s="108">
        <v>46906</v>
      </c>
      <c r="E45" s="108">
        <v>39053</v>
      </c>
      <c r="F45" s="108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</row>
    <row r="46" spans="1:20" x14ac:dyDescent="0.35">
      <c r="A46" s="100" t="s">
        <v>196</v>
      </c>
      <c r="B46" s="108">
        <v>20777</v>
      </c>
      <c r="C46" s="108">
        <v>19499</v>
      </c>
      <c r="D46" s="108">
        <v>17852</v>
      </c>
      <c r="E46" s="108">
        <v>15375</v>
      </c>
      <c r="F46" s="108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</row>
    <row r="47" spans="1:20" x14ac:dyDescent="0.35">
      <c r="A47" s="100" t="s">
        <v>197</v>
      </c>
      <c r="B47" s="108">
        <v>20777</v>
      </c>
      <c r="C47" s="108">
        <v>19499</v>
      </c>
      <c r="D47" s="108">
        <v>17852</v>
      </c>
      <c r="E47" s="108">
        <v>15375</v>
      </c>
      <c r="F47" s="108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</row>
    <row r="48" spans="1:20" x14ac:dyDescent="0.35">
      <c r="A48" s="100" t="s">
        <v>198</v>
      </c>
      <c r="B48" s="108">
        <v>77723</v>
      </c>
      <c r="C48" s="108">
        <v>91479</v>
      </c>
      <c r="D48" s="108">
        <v>100544</v>
      </c>
      <c r="E48" s="108">
        <v>120805</v>
      </c>
      <c r="F48" s="108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</row>
    <row r="49" spans="1:20" x14ac:dyDescent="0.35">
      <c r="A49" s="100" t="s">
        <v>199</v>
      </c>
      <c r="B49" s="108"/>
      <c r="C49" s="108"/>
      <c r="D49" s="108"/>
      <c r="E49" s="108">
        <v>120805</v>
      </c>
      <c r="F49" s="108">
        <v>127877</v>
      </c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</row>
    <row r="50" spans="1:20" x14ac:dyDescent="0.35">
      <c r="A50" s="100" t="s">
        <v>200</v>
      </c>
      <c r="B50" s="108">
        <v>77723</v>
      </c>
      <c r="C50" s="108">
        <v>91479</v>
      </c>
      <c r="D50" s="108">
        <v>100544</v>
      </c>
      <c r="E50" s="108">
        <v>120805</v>
      </c>
      <c r="F50" s="108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</row>
    <row r="51" spans="1:20" x14ac:dyDescent="0.35">
      <c r="A51" s="100" t="s">
        <v>201</v>
      </c>
      <c r="B51" s="108">
        <v>77723</v>
      </c>
      <c r="C51" s="108">
        <v>91479</v>
      </c>
      <c r="D51" s="108">
        <v>100544</v>
      </c>
      <c r="E51" s="108">
        <v>120805</v>
      </c>
      <c r="F51" s="108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</row>
    <row r="52" spans="1:20" x14ac:dyDescent="0.35">
      <c r="A52" s="100" t="s">
        <v>202</v>
      </c>
      <c r="B52" s="108">
        <v>49834</v>
      </c>
      <c r="C52" s="108">
        <v>45680</v>
      </c>
      <c r="D52" s="108">
        <v>43715</v>
      </c>
      <c r="E52" s="108">
        <v>42117</v>
      </c>
      <c r="F52" s="108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</row>
    <row r="53" spans="1:20" x14ac:dyDescent="0.35">
      <c r="A53" s="100" t="s">
        <v>203</v>
      </c>
      <c r="B53" s="108">
        <v>-76014000000</v>
      </c>
      <c r="C53" s="108">
        <v>-73448000000</v>
      </c>
      <c r="D53" s="108">
        <v>-70884000000</v>
      </c>
      <c r="E53" s="108">
        <v>-72340000000</v>
      </c>
      <c r="F53" s="108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</row>
    <row r="54" spans="1:20" x14ac:dyDescent="0.35">
      <c r="A54" s="100" t="s">
        <v>204</v>
      </c>
      <c r="B54" s="108">
        <v>125848</v>
      </c>
      <c r="C54" s="108">
        <v>119128</v>
      </c>
      <c r="D54" s="108">
        <v>114599</v>
      </c>
      <c r="E54" s="108">
        <v>114457</v>
      </c>
      <c r="F54" s="108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</row>
    <row r="55" spans="1:20" x14ac:dyDescent="0.35">
      <c r="A55" s="100" t="s">
        <v>205</v>
      </c>
      <c r="B55" s="108">
        <v>15091</v>
      </c>
      <c r="C55" s="108">
        <v>14233</v>
      </c>
      <c r="D55" s="108">
        <v>12839</v>
      </c>
      <c r="E55" s="108">
        <v>11271</v>
      </c>
      <c r="F55" s="108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</row>
    <row r="56" spans="1:20" x14ac:dyDescent="0.35">
      <c r="A56" s="100" t="s">
        <v>206</v>
      </c>
      <c r="B56" s="108"/>
      <c r="C56" s="108"/>
      <c r="D56" s="108">
        <v>10661</v>
      </c>
      <c r="E56" s="108">
        <v>10417</v>
      </c>
      <c r="F56" s="108">
        <v>10087</v>
      </c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</row>
    <row r="57" spans="1:20" x14ac:dyDescent="0.35">
      <c r="A57" s="100" t="s">
        <v>207</v>
      </c>
      <c r="B57" s="108">
        <v>83420</v>
      </c>
      <c r="C57" s="108">
        <v>80205</v>
      </c>
      <c r="D57" s="108">
        <v>78314</v>
      </c>
      <c r="E57" s="108">
        <v>81060</v>
      </c>
      <c r="F57" s="108"/>
      <c r="G57" s="100"/>
      <c r="H57" s="100"/>
      <c r="I57" s="100"/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</row>
    <row r="58" spans="1:20" x14ac:dyDescent="0.35">
      <c r="A58" s="100" t="s">
        <v>208</v>
      </c>
      <c r="B58" s="108">
        <v>27337</v>
      </c>
      <c r="C58" s="108">
        <v>24690</v>
      </c>
      <c r="D58" s="108">
        <v>23446</v>
      </c>
      <c r="E58" s="108">
        <v>22126</v>
      </c>
      <c r="F58" s="108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</row>
    <row r="59" spans="1:20" x14ac:dyDescent="0.35">
      <c r="A59" s="100" t="s">
        <v>209</v>
      </c>
      <c r="B59" s="108">
        <v>0</v>
      </c>
      <c r="C59" s="108">
        <v>0</v>
      </c>
      <c r="D59" s="108">
        <v>0</v>
      </c>
      <c r="E59" s="108">
        <v>0</v>
      </c>
      <c r="F59" s="108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</row>
    <row r="60" spans="1:20" x14ac:dyDescent="0.35">
      <c r="A60" s="100" t="s">
        <v>210</v>
      </c>
      <c r="B60" s="108">
        <v>147957</v>
      </c>
      <c r="C60" s="108">
        <v>152987</v>
      </c>
      <c r="D60" s="108">
        <v>143566</v>
      </c>
      <c r="E60" s="108">
        <v>135405</v>
      </c>
      <c r="F60" s="108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</row>
    <row r="61" spans="1:20" x14ac:dyDescent="0.35">
      <c r="A61" s="100" t="s">
        <v>211</v>
      </c>
      <c r="B61" s="108">
        <v>14585</v>
      </c>
      <c r="C61" s="108">
        <v>14287</v>
      </c>
      <c r="D61" s="108">
        <v>14695</v>
      </c>
      <c r="E61" s="108">
        <v>21223</v>
      </c>
      <c r="F61" s="108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</row>
    <row r="62" spans="1:20" x14ac:dyDescent="0.35">
      <c r="A62" s="100" t="s">
        <v>87</v>
      </c>
      <c r="B62" s="108">
        <v>5718</v>
      </c>
      <c r="C62" s="108">
        <v>7286</v>
      </c>
      <c r="D62" s="108">
        <v>6331</v>
      </c>
      <c r="E62" s="108">
        <v>4946</v>
      </c>
      <c r="F62" s="108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</row>
    <row r="63" spans="1:20" x14ac:dyDescent="0.35">
      <c r="A63" s="100" t="s">
        <v>212</v>
      </c>
      <c r="B63" s="108">
        <v>72957</v>
      </c>
      <c r="C63" s="108">
        <v>66243</v>
      </c>
      <c r="D63" s="108">
        <v>60985</v>
      </c>
      <c r="E63" s="108">
        <v>60932</v>
      </c>
      <c r="F63" s="108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</row>
    <row r="64" spans="1:20" x14ac:dyDescent="0.35">
      <c r="A64" s="100" t="s">
        <v>213</v>
      </c>
      <c r="B64" s="108">
        <v>33180</v>
      </c>
      <c r="C64" s="108">
        <v>32833</v>
      </c>
      <c r="D64" s="108">
        <v>31477</v>
      </c>
      <c r="E64" s="108">
        <v>32748</v>
      </c>
      <c r="F64" s="108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</row>
    <row r="65" spans="1:20" x14ac:dyDescent="0.35">
      <c r="A65" s="100" t="s">
        <v>214</v>
      </c>
      <c r="B65" s="108">
        <v>39777</v>
      </c>
      <c r="C65" s="108">
        <v>33410</v>
      </c>
      <c r="D65" s="108">
        <v>29508</v>
      </c>
      <c r="E65" s="108">
        <v>28184</v>
      </c>
      <c r="F65" s="108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</row>
    <row r="66" spans="1:20" x14ac:dyDescent="0.35">
      <c r="A66" s="100" t="s">
        <v>215</v>
      </c>
      <c r="B66" s="108">
        <v>54697</v>
      </c>
      <c r="C66" s="108">
        <v>65171</v>
      </c>
      <c r="D66" s="108">
        <v>61555</v>
      </c>
      <c r="E66" s="108">
        <v>48304</v>
      </c>
      <c r="F66" s="108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</row>
    <row r="67" spans="1:20" x14ac:dyDescent="0.35">
      <c r="A67" s="100" t="s">
        <v>216</v>
      </c>
      <c r="B67" s="108">
        <v>18763</v>
      </c>
      <c r="C67" s="108">
        <v>35228</v>
      </c>
      <c r="D67" s="108">
        <v>31590</v>
      </c>
      <c r="E67" s="108">
        <v>24658</v>
      </c>
      <c r="F67" s="108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</row>
    <row r="68" spans="1:20" x14ac:dyDescent="0.35">
      <c r="A68" s="100" t="s">
        <v>217</v>
      </c>
      <c r="B68" s="108">
        <v>35934</v>
      </c>
      <c r="C68" s="108">
        <v>29943</v>
      </c>
      <c r="D68" s="108">
        <v>29965</v>
      </c>
      <c r="E68" s="108">
        <v>23646</v>
      </c>
      <c r="F68" s="108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</row>
    <row r="69" spans="1:20" x14ac:dyDescent="0.35">
      <c r="A69" s="100" t="s">
        <v>218</v>
      </c>
      <c r="B69" s="108">
        <v>7667</v>
      </c>
      <c r="C69" s="108">
        <v>2744</v>
      </c>
      <c r="D69" s="108">
        <v>1606</v>
      </c>
      <c r="E69" s="108">
        <v>5100</v>
      </c>
      <c r="F69" s="108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</row>
    <row r="70" spans="1:20" x14ac:dyDescent="0.35">
      <c r="A70" s="100" t="s">
        <v>219</v>
      </c>
      <c r="B70" s="108">
        <v>28267</v>
      </c>
      <c r="C70" s="108">
        <v>27199</v>
      </c>
      <c r="D70" s="108">
        <v>28359</v>
      </c>
      <c r="E70" s="108">
        <v>18546</v>
      </c>
      <c r="F70" s="108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F1830-50CB-4251-8837-8532D8C9ACC6}">
  <sheetPr codeName="Sheet10"/>
  <dimension ref="A1:T54"/>
  <sheetViews>
    <sheetView showGridLines="0" zoomScale="69" workbookViewId="0">
      <selection activeCell="H17" sqref="H17"/>
    </sheetView>
  </sheetViews>
  <sheetFormatPr defaultRowHeight="12.75" x14ac:dyDescent="0.35"/>
  <cols>
    <col min="1" max="1" width="45.59765625" style="10" customWidth="1"/>
    <col min="2" max="5" width="16.19921875" style="10" bestFit="1" customWidth="1"/>
    <col min="6" max="6" width="14.19921875" style="10" bestFit="1" customWidth="1"/>
    <col min="7" max="16384" width="9.06640625" style="10"/>
  </cols>
  <sheetData>
    <row r="1" spans="1:20" ht="25.05" customHeight="1" x14ac:dyDescent="0.35">
      <c r="A1" s="92"/>
      <c r="B1" s="81">
        <v>45930</v>
      </c>
      <c r="C1" s="81">
        <v>45565</v>
      </c>
      <c r="D1" s="81">
        <v>45199</v>
      </c>
      <c r="E1" s="81">
        <v>44834</v>
      </c>
      <c r="F1" s="81">
        <v>44469</v>
      </c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ht="13.5" thickBot="1" x14ac:dyDescent="0.4">
      <c r="A2" s="93" t="s">
        <v>220</v>
      </c>
      <c r="B2" s="82">
        <v>98767</v>
      </c>
      <c r="C2" s="82">
        <v>108807</v>
      </c>
      <c r="D2" s="82">
        <v>99584</v>
      </c>
      <c r="E2" s="82">
        <v>111443</v>
      </c>
      <c r="F2" s="83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pans="1:20" ht="13.15" thickTop="1" x14ac:dyDescent="0.35">
      <c r="A3" s="94" t="s">
        <v>221</v>
      </c>
      <c r="B3" s="84">
        <v>-90711000000</v>
      </c>
      <c r="C3" s="84">
        <v>-94949000000</v>
      </c>
      <c r="D3" s="84">
        <v>-77550000000</v>
      </c>
      <c r="E3" s="84">
        <v>-89402000000</v>
      </c>
      <c r="F3" s="85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20" x14ac:dyDescent="0.35">
      <c r="A4" s="94" t="s">
        <v>222</v>
      </c>
      <c r="B4" s="84">
        <v>-10932000000</v>
      </c>
      <c r="C4" s="84">
        <v>-9958000000</v>
      </c>
      <c r="D4" s="84">
        <v>-11151000000</v>
      </c>
      <c r="E4" s="84">
        <v>-9543000000</v>
      </c>
      <c r="F4" s="85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</row>
    <row r="5" spans="1:20" x14ac:dyDescent="0.35">
      <c r="A5" s="94" t="s">
        <v>223</v>
      </c>
      <c r="B5" s="84">
        <v>4481</v>
      </c>
      <c r="C5" s="85">
        <v>0</v>
      </c>
      <c r="D5" s="84">
        <v>5228</v>
      </c>
      <c r="E5" s="84">
        <v>5465</v>
      </c>
      <c r="F5" s="85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</row>
    <row r="6" spans="1:20" x14ac:dyDescent="0.35">
      <c r="A6" s="94" t="s">
        <v>224</v>
      </c>
      <c r="B6" s="85"/>
      <c r="C6" s="85"/>
      <c r="D6" s="85"/>
      <c r="E6" s="85"/>
      <c r="F6" s="84">
        <v>1105</v>
      </c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</row>
    <row r="7" spans="1:20" x14ac:dyDescent="0.35">
      <c r="A7" s="94" t="s">
        <v>225</v>
      </c>
      <c r="B7" s="84">
        <v>-12715000000</v>
      </c>
      <c r="C7" s="84">
        <v>-9447000000</v>
      </c>
      <c r="D7" s="84">
        <v>-10959000000</v>
      </c>
      <c r="E7" s="84">
        <v>-10708000000</v>
      </c>
      <c r="F7" s="85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</row>
    <row r="8" spans="1:20" x14ac:dyDescent="0.35">
      <c r="A8" s="94" t="s">
        <v>226</v>
      </c>
      <c r="B8" s="85"/>
      <c r="C8" s="85"/>
      <c r="D8" s="84">
        <v>3803</v>
      </c>
      <c r="E8" s="84">
        <v>2865</v>
      </c>
      <c r="F8" s="84">
        <v>2687</v>
      </c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20" x14ac:dyDescent="0.35">
      <c r="A9" s="94" t="s">
        <v>227</v>
      </c>
      <c r="B9" s="84">
        <v>43369</v>
      </c>
      <c r="C9" s="84">
        <v>26102</v>
      </c>
      <c r="D9" s="84">
        <v>18679</v>
      </c>
      <c r="E9" s="84">
        <v>19573</v>
      </c>
      <c r="F9" s="85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</row>
    <row r="10" spans="1:20" ht="13.5" thickBot="1" x14ac:dyDescent="0.4">
      <c r="A10" s="95" t="s">
        <v>228</v>
      </c>
      <c r="B10" s="86">
        <v>35934</v>
      </c>
      <c r="C10" s="86">
        <v>29943</v>
      </c>
      <c r="D10" s="86">
        <v>30737</v>
      </c>
      <c r="E10" s="86">
        <v>24977</v>
      </c>
      <c r="F10" s="87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</row>
    <row r="11" spans="1:20" ht="13.9" thickTop="1" thickBot="1" x14ac:dyDescent="0.4">
      <c r="A11" s="96" t="s">
        <v>229</v>
      </c>
      <c r="B11" s="88">
        <v>29943</v>
      </c>
      <c r="C11" s="88">
        <v>30737</v>
      </c>
      <c r="D11" s="88">
        <v>24977</v>
      </c>
      <c r="E11" s="88">
        <v>35929</v>
      </c>
      <c r="F11" s="8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</row>
    <row r="12" spans="1:20" ht="13.15" thickTop="1" x14ac:dyDescent="0.35">
      <c r="A12" s="94" t="s">
        <v>230</v>
      </c>
      <c r="B12" s="84">
        <v>5991</v>
      </c>
      <c r="C12" s="84">
        <v>-794000000</v>
      </c>
      <c r="D12" s="84">
        <v>5760</v>
      </c>
      <c r="E12" s="84">
        <v>-10952000000</v>
      </c>
      <c r="F12" s="85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</row>
    <row r="13" spans="1:20" x14ac:dyDescent="0.35">
      <c r="A13" s="94" t="s">
        <v>231</v>
      </c>
      <c r="B13" s="84">
        <v>-120686000000</v>
      </c>
      <c r="C13" s="84">
        <v>-121983000000</v>
      </c>
      <c r="D13" s="84">
        <v>-108488000000</v>
      </c>
      <c r="E13" s="84">
        <v>-110749000000</v>
      </c>
      <c r="F13" s="85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</row>
    <row r="14" spans="1:20" ht="13.5" thickBot="1" x14ac:dyDescent="0.4">
      <c r="A14" s="93" t="s">
        <v>232</v>
      </c>
      <c r="B14" s="82">
        <v>-120686000000</v>
      </c>
      <c r="C14" s="82">
        <v>-121983000000</v>
      </c>
      <c r="D14" s="82">
        <v>-108488000000</v>
      </c>
      <c r="E14" s="82">
        <v>-110749000000</v>
      </c>
      <c r="F14" s="83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</row>
    <row r="15" spans="1:20" ht="13.15" thickTop="1" x14ac:dyDescent="0.35">
      <c r="A15" s="94" t="s">
        <v>233</v>
      </c>
      <c r="B15" s="84">
        <v>-6071000000</v>
      </c>
      <c r="C15" s="84">
        <v>-5802000000</v>
      </c>
      <c r="D15" s="84">
        <v>-6012000000</v>
      </c>
      <c r="E15" s="84">
        <v>-6383000000</v>
      </c>
      <c r="F15" s="85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</row>
    <row r="16" spans="1:20" x14ac:dyDescent="0.35">
      <c r="A16" s="94" t="s">
        <v>234</v>
      </c>
      <c r="B16" s="84">
        <v>-15421000000</v>
      </c>
      <c r="C16" s="84">
        <v>-15234000000</v>
      </c>
      <c r="D16" s="84">
        <v>-15025000000</v>
      </c>
      <c r="E16" s="84">
        <v>-14841000000</v>
      </c>
      <c r="F16" s="85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7" spans="1:20" x14ac:dyDescent="0.35">
      <c r="A17" s="94" t="s">
        <v>235</v>
      </c>
      <c r="B17" s="84">
        <v>-15421000000</v>
      </c>
      <c r="C17" s="84">
        <v>-15234000000</v>
      </c>
      <c r="D17" s="84">
        <v>-15025000000</v>
      </c>
      <c r="E17" s="84">
        <v>-14841000000</v>
      </c>
      <c r="F17" s="85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</row>
    <row r="18" spans="1:20" x14ac:dyDescent="0.35">
      <c r="A18" s="94" t="s">
        <v>236</v>
      </c>
      <c r="B18" s="84">
        <v>-90711000000</v>
      </c>
      <c r="C18" s="84">
        <v>-94949000000</v>
      </c>
      <c r="D18" s="84">
        <v>-77550000000</v>
      </c>
      <c r="E18" s="84">
        <v>-89402000000</v>
      </c>
      <c r="F18" s="85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</row>
    <row r="19" spans="1:20" x14ac:dyDescent="0.35">
      <c r="A19" s="94" t="s">
        <v>237</v>
      </c>
      <c r="B19" s="84">
        <v>-90711000000</v>
      </c>
      <c r="C19" s="84">
        <v>-94949000000</v>
      </c>
      <c r="D19" s="84">
        <v>-77550000000</v>
      </c>
      <c r="E19" s="84">
        <v>-89402000000</v>
      </c>
      <c r="F19" s="85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:20" x14ac:dyDescent="0.35">
      <c r="A20" s="94" t="s">
        <v>238</v>
      </c>
      <c r="B20" s="85"/>
      <c r="C20" s="85"/>
      <c r="D20" s="85"/>
      <c r="E20" s="85"/>
      <c r="F20" s="84">
        <v>1105</v>
      </c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35">
      <c r="A21" s="94" t="s">
        <v>239</v>
      </c>
      <c r="B21" s="84">
        <v>-8483000000</v>
      </c>
      <c r="C21" s="84">
        <v>-5998000000</v>
      </c>
      <c r="D21" s="84">
        <v>-9901000000</v>
      </c>
      <c r="E21" s="84">
        <v>-123000000</v>
      </c>
      <c r="F21" s="85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35">
      <c r="A22" s="94" t="s">
        <v>240</v>
      </c>
      <c r="B22" s="84">
        <v>-2032000000</v>
      </c>
      <c r="C22" s="84">
        <v>3960</v>
      </c>
      <c r="D22" s="84">
        <v>-3978000000</v>
      </c>
      <c r="E22" s="84">
        <v>3955</v>
      </c>
      <c r="F22" s="85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35">
      <c r="A23" s="94" t="s">
        <v>241</v>
      </c>
      <c r="B23" s="84">
        <v>-6451000000</v>
      </c>
      <c r="C23" s="84">
        <v>-9958000000</v>
      </c>
      <c r="D23" s="84">
        <v>-5923000000</v>
      </c>
      <c r="E23" s="84">
        <v>-4078000000</v>
      </c>
      <c r="F23" s="85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35">
      <c r="A24" s="94" t="s">
        <v>242</v>
      </c>
      <c r="B24" s="84">
        <v>-10932000000</v>
      </c>
      <c r="C24" s="84">
        <v>-9958000000</v>
      </c>
      <c r="D24" s="84">
        <v>-11151000000</v>
      </c>
      <c r="E24" s="84">
        <v>-9543000000</v>
      </c>
      <c r="F24" s="85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35">
      <c r="A25" s="94" t="s">
        <v>243</v>
      </c>
      <c r="B25" s="84">
        <v>4481</v>
      </c>
      <c r="C25" s="85">
        <v>0</v>
      </c>
      <c r="D25" s="84">
        <v>5228</v>
      </c>
      <c r="E25" s="84">
        <v>5465</v>
      </c>
      <c r="F25" s="85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35">
      <c r="A26" s="94" t="s">
        <v>244</v>
      </c>
      <c r="B26" s="84">
        <v>15195</v>
      </c>
      <c r="C26" s="84">
        <v>2935</v>
      </c>
      <c r="D26" s="84">
        <v>3705</v>
      </c>
      <c r="E26" s="84">
        <v>-22354000000</v>
      </c>
      <c r="F26" s="85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ht="13.5" thickBot="1" x14ac:dyDescent="0.4">
      <c r="A27" s="93" t="s">
        <v>245</v>
      </c>
      <c r="B27" s="82">
        <v>15195</v>
      </c>
      <c r="C27" s="82">
        <v>2935</v>
      </c>
      <c r="D27" s="82">
        <v>3705</v>
      </c>
      <c r="E27" s="82">
        <v>-22354000000</v>
      </c>
      <c r="F27" s="83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ht="13.15" thickTop="1" x14ac:dyDescent="0.35">
      <c r="A28" s="94" t="s">
        <v>246</v>
      </c>
      <c r="B28" s="84">
        <v>-1480000000</v>
      </c>
      <c r="C28" s="84">
        <v>-1308000000</v>
      </c>
      <c r="D28" s="84">
        <v>-1337000000</v>
      </c>
      <c r="E28" s="84">
        <v>-2086000000</v>
      </c>
      <c r="F28" s="85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35">
      <c r="A29" s="94" t="s">
        <v>247</v>
      </c>
      <c r="B29" s="84">
        <v>29390</v>
      </c>
      <c r="C29" s="84">
        <v>13690</v>
      </c>
      <c r="D29" s="84">
        <v>16001</v>
      </c>
      <c r="E29" s="84">
        <v>-9560000000</v>
      </c>
      <c r="F29" s="85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35">
      <c r="A30" s="94" t="s">
        <v>248</v>
      </c>
      <c r="B30" s="84">
        <v>53797</v>
      </c>
      <c r="C30" s="84">
        <v>62346</v>
      </c>
      <c r="D30" s="84">
        <v>45514</v>
      </c>
      <c r="E30" s="84">
        <v>67363</v>
      </c>
      <c r="F30" s="85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35">
      <c r="A31" s="94" t="s">
        <v>249</v>
      </c>
      <c r="B31" s="84">
        <v>-24407000000</v>
      </c>
      <c r="C31" s="84">
        <v>-48656000000</v>
      </c>
      <c r="D31" s="84">
        <v>-29513000000</v>
      </c>
      <c r="E31" s="84">
        <v>-76923000000</v>
      </c>
      <c r="F31" s="85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35">
      <c r="A32" s="94" t="s">
        <v>250</v>
      </c>
      <c r="B32" s="85"/>
      <c r="C32" s="85"/>
      <c r="D32" s="85"/>
      <c r="E32" s="84">
        <v>-306000000</v>
      </c>
      <c r="F32" s="84">
        <v>-33000000</v>
      </c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35">
      <c r="A33" s="94" t="s">
        <v>251</v>
      </c>
      <c r="B33" s="85"/>
      <c r="C33" s="85"/>
      <c r="D33" s="85"/>
      <c r="E33" s="84">
        <v>-306000000</v>
      </c>
      <c r="F33" s="84">
        <v>-33000000</v>
      </c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35">
      <c r="A34" s="94" t="s">
        <v>252</v>
      </c>
      <c r="B34" s="84">
        <v>-12715000000</v>
      </c>
      <c r="C34" s="84">
        <v>-9447000000</v>
      </c>
      <c r="D34" s="84">
        <v>-10959000000</v>
      </c>
      <c r="E34" s="84">
        <v>-10708000000</v>
      </c>
      <c r="F34" s="85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35">
      <c r="A35" s="94" t="s">
        <v>253</v>
      </c>
      <c r="B35" s="84">
        <v>-12715000000</v>
      </c>
      <c r="C35" s="84">
        <v>-9447000000</v>
      </c>
      <c r="D35" s="84">
        <v>-10959000000</v>
      </c>
      <c r="E35" s="84">
        <v>-10708000000</v>
      </c>
      <c r="F35" s="85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35">
      <c r="A36" s="94" t="s">
        <v>254</v>
      </c>
      <c r="B36" s="84">
        <v>111482</v>
      </c>
      <c r="C36" s="84">
        <v>118254</v>
      </c>
      <c r="D36" s="84">
        <v>110543</v>
      </c>
      <c r="E36" s="84">
        <v>122151</v>
      </c>
      <c r="F36" s="85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ht="13.5" thickBot="1" x14ac:dyDescent="0.4">
      <c r="A37" s="93" t="s">
        <v>255</v>
      </c>
      <c r="B37" s="82">
        <v>111482</v>
      </c>
      <c r="C37" s="82">
        <v>118254</v>
      </c>
      <c r="D37" s="82">
        <v>110543</v>
      </c>
      <c r="E37" s="82">
        <v>122151</v>
      </c>
      <c r="F37" s="83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ht="13.15" thickTop="1" x14ac:dyDescent="0.35">
      <c r="A38" s="94" t="s">
        <v>256</v>
      </c>
      <c r="B38" s="84">
        <v>-25000000000</v>
      </c>
      <c r="C38" s="84">
        <v>3651</v>
      </c>
      <c r="D38" s="84">
        <v>-6577000000</v>
      </c>
      <c r="E38" s="84">
        <v>1200</v>
      </c>
      <c r="F38" s="85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35">
      <c r="A39" s="94" t="s">
        <v>257</v>
      </c>
      <c r="B39" s="85"/>
      <c r="C39" s="85"/>
      <c r="D39" s="85"/>
      <c r="E39" s="84">
        <v>478</v>
      </c>
      <c r="F39" s="84">
        <v>1676</v>
      </c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35">
      <c r="A40" s="94" t="s">
        <v>258</v>
      </c>
      <c r="B40" s="84">
        <v>-11076000000</v>
      </c>
      <c r="C40" s="84">
        <v>15552</v>
      </c>
      <c r="D40" s="84">
        <v>3031</v>
      </c>
      <c r="E40" s="84">
        <v>6110</v>
      </c>
      <c r="F40" s="85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35">
      <c r="A41" s="94" t="s">
        <v>259</v>
      </c>
      <c r="B41" s="84">
        <v>-9197000000</v>
      </c>
      <c r="C41" s="84">
        <v>-11731000000</v>
      </c>
      <c r="D41" s="84">
        <v>-5684000000</v>
      </c>
      <c r="E41" s="84">
        <v>-6499000000</v>
      </c>
      <c r="F41" s="85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35">
      <c r="A42" s="94" t="s">
        <v>260</v>
      </c>
      <c r="B42" s="84">
        <v>902</v>
      </c>
      <c r="C42" s="84">
        <v>6020</v>
      </c>
      <c r="D42" s="84">
        <v>-1889000000</v>
      </c>
      <c r="E42" s="84">
        <v>9448</v>
      </c>
      <c r="F42" s="85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35">
      <c r="A43" s="94" t="s">
        <v>261</v>
      </c>
      <c r="B43" s="84">
        <v>902</v>
      </c>
      <c r="C43" s="84">
        <v>6020</v>
      </c>
      <c r="D43" s="84">
        <v>-1889000000</v>
      </c>
      <c r="E43" s="84">
        <v>9448</v>
      </c>
      <c r="F43" s="85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35">
      <c r="A44" s="94" t="s">
        <v>262</v>
      </c>
      <c r="B44" s="84">
        <v>902</v>
      </c>
      <c r="C44" s="84">
        <v>6020</v>
      </c>
      <c r="D44" s="84">
        <v>-1889000000</v>
      </c>
      <c r="E44" s="84">
        <v>9448</v>
      </c>
      <c r="F44" s="85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35">
      <c r="A45" s="94" t="s">
        <v>263</v>
      </c>
      <c r="B45" s="84">
        <v>1400</v>
      </c>
      <c r="C45" s="84">
        <v>-1046000000</v>
      </c>
      <c r="D45" s="84">
        <v>-1618000000</v>
      </c>
      <c r="E45" s="84">
        <v>1484</v>
      </c>
      <c r="F45" s="85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35">
      <c r="A46" s="94" t="s">
        <v>264</v>
      </c>
      <c r="B46" s="84">
        <v>-7029000000</v>
      </c>
      <c r="C46" s="84">
        <v>-5144000000</v>
      </c>
      <c r="D46" s="84">
        <v>-417000000</v>
      </c>
      <c r="E46" s="84">
        <v>-9343000000</v>
      </c>
      <c r="F46" s="85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35">
      <c r="A47" s="94" t="s">
        <v>265</v>
      </c>
      <c r="B47" s="84">
        <v>-6682000000</v>
      </c>
      <c r="C47" s="84">
        <v>-3788000000</v>
      </c>
      <c r="D47" s="84">
        <v>-1688000000</v>
      </c>
      <c r="E47" s="84">
        <v>-1823000000</v>
      </c>
      <c r="F47" s="85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35">
      <c r="A48" s="94" t="s">
        <v>266</v>
      </c>
      <c r="B48" s="84">
        <v>-89000000</v>
      </c>
      <c r="C48" s="84">
        <v>-2266000000</v>
      </c>
      <c r="D48" s="84">
        <v>-2227000000</v>
      </c>
      <c r="E48" s="84">
        <v>1006</v>
      </c>
      <c r="F48" s="85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35">
      <c r="A49" s="94" t="s">
        <v>267</v>
      </c>
      <c r="B49" s="84">
        <v>12863</v>
      </c>
      <c r="C49" s="84">
        <v>11688</v>
      </c>
      <c r="D49" s="84">
        <v>10833</v>
      </c>
      <c r="E49" s="84">
        <v>9038</v>
      </c>
      <c r="F49" s="85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35">
      <c r="A50" s="94" t="s">
        <v>268</v>
      </c>
      <c r="B50" s="85"/>
      <c r="C50" s="85"/>
      <c r="D50" s="85"/>
      <c r="E50" s="84">
        <v>895</v>
      </c>
      <c r="F50" s="84">
        <v>-4774000000</v>
      </c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35">
      <c r="A51" s="94" t="s">
        <v>269</v>
      </c>
      <c r="B51" s="85"/>
      <c r="C51" s="85"/>
      <c r="D51" s="85"/>
      <c r="E51" s="84">
        <v>895</v>
      </c>
      <c r="F51" s="84">
        <v>-4774000000</v>
      </c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35">
      <c r="A52" s="94" t="s">
        <v>270</v>
      </c>
      <c r="B52" s="84">
        <v>11698</v>
      </c>
      <c r="C52" s="84">
        <v>11445</v>
      </c>
      <c r="D52" s="84">
        <v>11519</v>
      </c>
      <c r="E52" s="84">
        <v>11104</v>
      </c>
      <c r="F52" s="85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35">
      <c r="A53" s="94" t="s">
        <v>271</v>
      </c>
      <c r="B53" s="84">
        <v>11698</v>
      </c>
      <c r="C53" s="84">
        <v>11445</v>
      </c>
      <c r="D53" s="84">
        <v>11519</v>
      </c>
      <c r="E53" s="84">
        <v>11104</v>
      </c>
      <c r="F53" s="85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ht="13.15" x14ac:dyDescent="0.35">
      <c r="A54" s="97" t="s">
        <v>272</v>
      </c>
      <c r="B54" s="90">
        <v>112010</v>
      </c>
      <c r="C54" s="90">
        <v>93736</v>
      </c>
      <c r="D54" s="90">
        <v>96995</v>
      </c>
      <c r="E54" s="90">
        <v>99803</v>
      </c>
      <c r="F54" s="91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31F0-6754-4168-97C0-04283C7617B4}">
  <sheetPr codeName="Sheet6"/>
  <dimension ref="A1:AA50"/>
  <sheetViews>
    <sheetView showGridLines="0" zoomScale="26" workbookViewId="0">
      <selection activeCell="O71" sqref="O71"/>
    </sheetView>
  </sheetViews>
  <sheetFormatPr defaultRowHeight="12.75" x14ac:dyDescent="0.35"/>
  <cols>
    <col min="1" max="1" width="26.1328125" style="10" bestFit="1" customWidth="1"/>
    <col min="2" max="2" width="42.796875" style="10" bestFit="1" customWidth="1"/>
    <col min="3" max="3" width="52.33203125" style="10" bestFit="1" customWidth="1"/>
    <col min="4" max="7" width="10.265625" style="10" bestFit="1" customWidth="1"/>
    <col min="8" max="8" width="21.9296875" style="10" bestFit="1" customWidth="1"/>
    <col min="9" max="9" width="18.53125" style="10" bestFit="1" customWidth="1"/>
    <col min="10" max="14" width="10.265625" style="10" bestFit="1" customWidth="1"/>
    <col min="15" max="15" width="9.06640625" style="10"/>
    <col min="16" max="16" width="17.3984375" style="10" bestFit="1" customWidth="1"/>
    <col min="17" max="17" width="13.1328125" style="10" bestFit="1" customWidth="1"/>
    <col min="18" max="18" width="6.9296875" style="10" bestFit="1" customWidth="1"/>
    <col min="19" max="19" width="8.265625" style="10" bestFit="1" customWidth="1"/>
    <col min="20" max="20" width="6.6640625" style="10" bestFit="1" customWidth="1"/>
    <col min="21" max="21" width="8.265625" style="10" bestFit="1" customWidth="1"/>
    <col min="22" max="22" width="6.6640625" style="10" bestFit="1" customWidth="1"/>
    <col min="23" max="23" width="8.265625" style="10" bestFit="1" customWidth="1"/>
    <col min="24" max="24" width="6.6640625" style="10" bestFit="1" customWidth="1"/>
    <col min="25" max="25" width="8.265625" style="10" bestFit="1" customWidth="1"/>
    <col min="26" max="26" width="6.6640625" style="10" bestFit="1" customWidth="1"/>
    <col min="27" max="27" width="7.6640625" style="10" bestFit="1" customWidth="1"/>
    <col min="28" max="16379" width="9.06640625" style="10"/>
    <col min="16380" max="16384" width="9.1328125" style="10" bestFit="1" customWidth="1"/>
  </cols>
  <sheetData>
    <row r="1" spans="1:27" s="12" customFormat="1" ht="13.15" x14ac:dyDescent="0.4">
      <c r="A1" s="13" t="s">
        <v>64</v>
      </c>
      <c r="B1" s="14"/>
      <c r="C1" s="150" t="s">
        <v>65</v>
      </c>
      <c r="D1" s="150"/>
      <c r="E1" s="150"/>
      <c r="F1" s="150"/>
      <c r="G1" s="150"/>
      <c r="H1" s="14"/>
      <c r="I1" s="13" t="s">
        <v>64</v>
      </c>
      <c r="J1" s="150" t="s">
        <v>65</v>
      </c>
      <c r="K1" s="150"/>
      <c r="L1" s="150"/>
      <c r="M1" s="150"/>
      <c r="N1" s="150"/>
      <c r="O1" s="14"/>
      <c r="P1" s="153" t="s">
        <v>80</v>
      </c>
      <c r="Q1" s="153"/>
      <c r="R1" s="14"/>
      <c r="S1" s="150" t="s">
        <v>65</v>
      </c>
      <c r="T1" s="150"/>
      <c r="U1" s="150"/>
      <c r="V1" s="150"/>
      <c r="W1" s="150"/>
      <c r="X1" s="150"/>
      <c r="Y1" s="150"/>
      <c r="Z1" s="150"/>
      <c r="AA1" s="150"/>
    </row>
    <row r="2" spans="1:27" s="12" customFormat="1" ht="13.15" x14ac:dyDescent="0.4">
      <c r="A2" s="150"/>
      <c r="B2" s="150"/>
      <c r="C2" s="14"/>
      <c r="D2" s="14"/>
      <c r="E2" s="14"/>
      <c r="F2" s="14"/>
      <c r="G2" s="14"/>
      <c r="H2" s="14"/>
      <c r="I2" s="150"/>
      <c r="J2" s="150"/>
      <c r="K2" s="150"/>
      <c r="L2" s="150"/>
      <c r="M2" s="150"/>
      <c r="N2" s="14"/>
      <c r="O2" s="14"/>
      <c r="P2" s="150"/>
      <c r="Q2" s="150"/>
      <c r="R2" s="150"/>
      <c r="S2" s="14"/>
      <c r="T2" s="14"/>
      <c r="U2" s="14"/>
      <c r="V2" s="14"/>
      <c r="W2" s="14"/>
      <c r="X2" s="14"/>
      <c r="Y2" s="14"/>
      <c r="Z2" s="14"/>
      <c r="AA2" s="14"/>
    </row>
    <row r="3" spans="1:27" s="12" customFormat="1" ht="13.15" x14ac:dyDescent="0.4">
      <c r="A3" s="14"/>
      <c r="B3" s="15">
        <v>45901</v>
      </c>
      <c r="C3" s="16">
        <v>46266</v>
      </c>
      <c r="D3" s="16">
        <v>46631</v>
      </c>
      <c r="E3" s="16">
        <v>46997</v>
      </c>
      <c r="F3" s="16">
        <v>47362</v>
      </c>
      <c r="G3" s="16">
        <v>47727</v>
      </c>
      <c r="H3" s="17"/>
      <c r="I3" s="14"/>
      <c r="J3" s="16">
        <v>46266</v>
      </c>
      <c r="K3" s="16">
        <v>46631</v>
      </c>
      <c r="L3" s="16">
        <v>46997</v>
      </c>
      <c r="M3" s="16">
        <v>47362</v>
      </c>
      <c r="N3" s="16">
        <v>47727</v>
      </c>
      <c r="O3" s="17"/>
      <c r="P3" s="14"/>
      <c r="Q3" s="18" t="s">
        <v>81</v>
      </c>
      <c r="R3" s="15">
        <v>45901</v>
      </c>
      <c r="S3" s="157">
        <v>46266</v>
      </c>
      <c r="T3" s="157"/>
      <c r="U3" s="158">
        <v>46631</v>
      </c>
      <c r="V3" s="158"/>
      <c r="W3" s="158">
        <v>46997</v>
      </c>
      <c r="X3" s="158"/>
      <c r="Y3" s="158">
        <v>47362</v>
      </c>
      <c r="Z3" s="158"/>
      <c r="AA3" s="16">
        <v>47727</v>
      </c>
    </row>
    <row r="4" spans="1:27" x14ac:dyDescent="0.35">
      <c r="A4" s="151"/>
      <c r="B4" s="146"/>
      <c r="C4" s="20"/>
      <c r="D4" s="20"/>
      <c r="E4" s="20"/>
      <c r="F4" s="20"/>
      <c r="G4" s="20"/>
      <c r="H4" s="20"/>
      <c r="I4" s="146"/>
      <c r="J4" s="146"/>
      <c r="K4" s="146"/>
      <c r="L4" s="146"/>
      <c r="M4" s="146"/>
      <c r="N4" s="20"/>
      <c r="O4" s="20"/>
      <c r="P4" s="146"/>
      <c r="Q4" s="146"/>
      <c r="R4" s="146"/>
      <c r="S4" s="20"/>
      <c r="T4" s="20"/>
      <c r="U4" s="20"/>
      <c r="V4" s="20"/>
      <c r="W4" s="20"/>
      <c r="X4" s="20"/>
      <c r="Y4" s="20"/>
      <c r="Z4" s="20"/>
      <c r="AA4" s="19"/>
    </row>
    <row r="5" spans="1:27" x14ac:dyDescent="0.35">
      <c r="A5" s="19" t="s">
        <v>15</v>
      </c>
      <c r="B5" s="21">
        <v>416.161</v>
      </c>
      <c r="C5" s="22">
        <v>454.46100000000001</v>
      </c>
      <c r="D5" s="22">
        <v>490.774</v>
      </c>
      <c r="E5" s="22">
        <v>504.11900000000003</v>
      </c>
      <c r="F5" s="22">
        <v>538</v>
      </c>
      <c r="G5" s="22">
        <v>587.51300000000003</v>
      </c>
      <c r="H5" s="20"/>
      <c r="I5" s="23" t="s">
        <v>79</v>
      </c>
      <c r="J5" s="20"/>
      <c r="K5" s="20"/>
      <c r="L5" s="20"/>
      <c r="M5" s="20"/>
      <c r="N5" s="20"/>
      <c r="O5" s="20"/>
      <c r="P5" s="23" t="s">
        <v>82</v>
      </c>
      <c r="Q5" s="24">
        <v>31</v>
      </c>
      <c r="R5" s="25"/>
      <c r="S5" s="24">
        <v>31</v>
      </c>
      <c r="T5" s="23"/>
      <c r="U5" s="24">
        <v>32</v>
      </c>
      <c r="V5" s="20"/>
      <c r="W5" s="24">
        <v>33</v>
      </c>
      <c r="X5" s="20"/>
      <c r="Y5" s="24">
        <v>32</v>
      </c>
      <c r="Z5" s="20"/>
      <c r="AA5" s="26">
        <v>33</v>
      </c>
    </row>
    <row r="6" spans="1:27" ht="13.15" x14ac:dyDescent="0.35">
      <c r="A6" s="27" t="s">
        <v>66</v>
      </c>
      <c r="B6" s="28">
        <v>0.06</v>
      </c>
      <c r="C6" s="29">
        <f>(C5/B5)-1</f>
        <v>9.203168965856956E-2</v>
      </c>
      <c r="D6" s="29">
        <f>(D5/C5)-1</f>
        <v>7.9903446060277883E-2</v>
      </c>
      <c r="E6" s="29">
        <f>(E5/D5)-1</f>
        <v>2.7191742023823684E-2</v>
      </c>
      <c r="F6" s="29">
        <f>(F5/E5)-1</f>
        <v>6.7208337713912769E-2</v>
      </c>
      <c r="G6" s="29">
        <f>(G5/F5) - 1</f>
        <v>9.2031598513011126E-2</v>
      </c>
      <c r="H6" s="23"/>
      <c r="I6" s="30">
        <v>2026</v>
      </c>
      <c r="J6" s="22">
        <v>2.5590000000000002</v>
      </c>
      <c r="K6" s="22">
        <v>2.5590000000000002</v>
      </c>
      <c r="L6" s="22">
        <v>2.5590000000000002</v>
      </c>
      <c r="M6" s="22">
        <v>2.5590000000000002</v>
      </c>
      <c r="N6" s="22">
        <v>2.5590000000000002</v>
      </c>
      <c r="O6" s="20"/>
      <c r="P6" s="20" t="s">
        <v>83</v>
      </c>
      <c r="Q6" s="20"/>
      <c r="R6" s="21">
        <v>39.777000000000001</v>
      </c>
      <c r="S6" s="20"/>
      <c r="T6" s="22">
        <v>39.085000000000001</v>
      </c>
      <c r="U6" s="20"/>
      <c r="V6" s="22">
        <v>43.683</v>
      </c>
      <c r="W6" s="20"/>
      <c r="X6" s="22">
        <v>45.47</v>
      </c>
      <c r="Y6" s="20"/>
      <c r="Z6" s="22">
        <v>47.561</v>
      </c>
      <c r="AA6" s="19">
        <v>52.408000000000001</v>
      </c>
    </row>
    <row r="7" spans="1:27" ht="13.15" x14ac:dyDescent="0.35">
      <c r="A7" s="151"/>
      <c r="B7" s="146"/>
      <c r="C7" s="20"/>
      <c r="D7" s="20"/>
      <c r="E7" s="20"/>
      <c r="F7" s="20"/>
      <c r="G7" s="20"/>
      <c r="H7" s="20"/>
      <c r="I7" s="30">
        <v>2027</v>
      </c>
      <c r="J7" s="20"/>
      <c r="K7" s="22">
        <v>2.7629999999999999</v>
      </c>
      <c r="L7" s="22">
        <v>2.7629999999999999</v>
      </c>
      <c r="M7" s="22">
        <v>2.7629999999999999</v>
      </c>
      <c r="N7" s="22">
        <v>2.7629999999999999</v>
      </c>
      <c r="O7" s="20"/>
      <c r="P7" s="146"/>
      <c r="Q7" s="146"/>
      <c r="R7" s="146"/>
      <c r="S7" s="20"/>
      <c r="T7" s="20"/>
      <c r="U7" s="20"/>
      <c r="V7" s="20"/>
      <c r="W7" s="20"/>
      <c r="X7" s="20"/>
      <c r="Y7" s="20"/>
      <c r="Z7" s="20"/>
      <c r="AA7" s="19"/>
    </row>
    <row r="8" spans="1:27" ht="13.15" x14ac:dyDescent="0.35">
      <c r="A8" s="19" t="s">
        <v>71</v>
      </c>
      <c r="B8" s="21">
        <v>220.96</v>
      </c>
      <c r="C8" s="22">
        <v>229.23099999999999</v>
      </c>
      <c r="D8" s="22">
        <v>235.16900000000001</v>
      </c>
      <c r="E8" s="22">
        <v>229.48599999999999</v>
      </c>
      <c r="F8" s="22">
        <v>232.66399999999999</v>
      </c>
      <c r="G8" s="22">
        <v>241.37299999999999</v>
      </c>
      <c r="H8" s="20"/>
      <c r="I8" s="30">
        <v>2028</v>
      </c>
      <c r="J8" s="20"/>
      <c r="K8" s="20"/>
      <c r="L8" s="22">
        <v>2.8380000000000001</v>
      </c>
      <c r="M8" s="22">
        <v>2.8380000000000001</v>
      </c>
      <c r="N8" s="22">
        <v>2.8380000000000001</v>
      </c>
      <c r="O8" s="20"/>
      <c r="P8" s="23" t="s">
        <v>84</v>
      </c>
      <c r="Q8" s="24">
        <v>114</v>
      </c>
      <c r="R8" s="25"/>
      <c r="S8" s="24">
        <v>114</v>
      </c>
      <c r="T8" s="23"/>
      <c r="U8" s="24">
        <v>116</v>
      </c>
      <c r="V8" s="20"/>
      <c r="W8" s="24">
        <v>115</v>
      </c>
      <c r="X8" s="20"/>
      <c r="Y8" s="24">
        <v>115</v>
      </c>
      <c r="Z8" s="20"/>
      <c r="AA8" s="26">
        <v>116</v>
      </c>
    </row>
    <row r="9" spans="1:27" ht="13.15" x14ac:dyDescent="0.35">
      <c r="A9" s="26" t="s">
        <v>67</v>
      </c>
      <c r="B9" s="25">
        <f t="shared" ref="B9:G9" si="0">1/(B5/B8)</f>
        <v>0.53094835892839554</v>
      </c>
      <c r="C9" s="25">
        <f t="shared" si="0"/>
        <v>0.50440191787634137</v>
      </c>
      <c r="D9" s="25">
        <f t="shared" si="0"/>
        <v>0.4791798261521597</v>
      </c>
      <c r="E9" s="25">
        <f t="shared" si="0"/>
        <v>0.45522188213497206</v>
      </c>
      <c r="F9" s="25">
        <f t="shared" si="0"/>
        <v>0.4324609665427509</v>
      </c>
      <c r="G9" s="25">
        <f t="shared" si="0"/>
        <v>0.41083856867848023</v>
      </c>
      <c r="H9" s="23"/>
      <c r="I9" s="30">
        <v>2029</v>
      </c>
      <c r="J9" s="20"/>
      <c r="K9" s="20"/>
      <c r="L9" s="20"/>
      <c r="M9" s="22">
        <v>3.0289999999999999</v>
      </c>
      <c r="N9" s="22">
        <v>3.0289999999999999</v>
      </c>
      <c r="O9" s="20"/>
      <c r="P9" s="20" t="s">
        <v>85</v>
      </c>
      <c r="Q9" s="20"/>
      <c r="R9" s="21">
        <v>-69.86</v>
      </c>
      <c r="S9" s="20"/>
      <c r="T9" s="22">
        <v>-71.549000000000007</v>
      </c>
      <c r="U9" s="20"/>
      <c r="V9" s="22">
        <v>-74.95</v>
      </c>
      <c r="W9" s="20"/>
      <c r="X9" s="22">
        <v>-72.441000000000003</v>
      </c>
      <c r="Y9" s="20"/>
      <c r="Z9" s="22">
        <v>-73.406000000000006</v>
      </c>
      <c r="AA9" s="19">
        <v>-76.424999999999997</v>
      </c>
    </row>
    <row r="10" spans="1:27" ht="13.15" x14ac:dyDescent="0.35">
      <c r="A10" s="151"/>
      <c r="B10" s="146"/>
      <c r="C10" s="20"/>
      <c r="D10" s="20"/>
      <c r="E10" s="20"/>
      <c r="F10" s="20"/>
      <c r="G10" s="20"/>
      <c r="H10" s="20"/>
      <c r="I10" s="30">
        <v>2030</v>
      </c>
      <c r="J10" s="20"/>
      <c r="K10" s="20"/>
      <c r="L10" s="20"/>
      <c r="M10" s="20"/>
      <c r="N10" s="22">
        <v>3.3079999999999998</v>
      </c>
      <c r="O10" s="20"/>
      <c r="P10" s="146"/>
      <c r="Q10" s="146"/>
      <c r="R10" s="146"/>
      <c r="S10" s="20"/>
      <c r="T10" s="20"/>
      <c r="U10" s="20"/>
      <c r="V10" s="20"/>
      <c r="W10" s="20"/>
      <c r="X10" s="20"/>
      <c r="Y10" s="20"/>
      <c r="Z10" s="20"/>
      <c r="AA10" s="19"/>
    </row>
    <row r="11" spans="1:27" x14ac:dyDescent="0.35">
      <c r="A11" s="19" t="s">
        <v>72</v>
      </c>
      <c r="B11" s="21">
        <v>27.600999999999999</v>
      </c>
      <c r="C11" s="22">
        <v>30.140999999999998</v>
      </c>
      <c r="D11" s="22">
        <v>32.549999999999997</v>
      </c>
      <c r="E11" s="22">
        <v>33.435000000000002</v>
      </c>
      <c r="F11" s="22">
        <v>35.682000000000002</v>
      </c>
      <c r="G11" s="22">
        <v>38.966000000000001</v>
      </c>
      <c r="H11" s="20"/>
      <c r="I11" s="31" t="s">
        <v>78</v>
      </c>
      <c r="J11" s="20">
        <f>SUM(J6:J10)</f>
        <v>2.5590000000000002</v>
      </c>
      <c r="K11" s="20">
        <f>SUM(K6:K10)</f>
        <v>5.3220000000000001</v>
      </c>
      <c r="L11" s="20">
        <f>SUM(L6:L10)</f>
        <v>8.16</v>
      </c>
      <c r="M11" s="20">
        <f>SUM(M6:M10)</f>
        <v>11.189</v>
      </c>
      <c r="N11" s="20">
        <f>SUM(N6:N10)</f>
        <v>14.497</v>
      </c>
      <c r="O11" s="20"/>
      <c r="P11" s="23" t="s">
        <v>86</v>
      </c>
      <c r="Q11" s="24">
        <v>11</v>
      </c>
      <c r="R11" s="25"/>
      <c r="S11" s="24">
        <v>11</v>
      </c>
      <c r="T11" s="23"/>
      <c r="U11" s="24">
        <v>11</v>
      </c>
      <c r="V11" s="20"/>
      <c r="W11" s="24">
        <v>10</v>
      </c>
      <c r="X11" s="20"/>
      <c r="Y11" s="24">
        <v>11</v>
      </c>
      <c r="Z11" s="20"/>
      <c r="AA11" s="26">
        <v>11</v>
      </c>
    </row>
    <row r="12" spans="1:27" ht="13.15" x14ac:dyDescent="0.35">
      <c r="A12" s="26" t="s">
        <v>67</v>
      </c>
      <c r="B12" s="25">
        <f t="shared" ref="B12:G12" si="1" xml:space="preserve"> 1/(B5/B11)</f>
        <v>6.6322889458647005E-2</v>
      </c>
      <c r="C12" s="25">
        <f t="shared" si="1"/>
        <v>6.6322522724722249E-2</v>
      </c>
      <c r="D12" s="25">
        <f t="shared" si="1"/>
        <v>6.6323806884635281E-2</v>
      </c>
      <c r="E12" s="25">
        <f t="shared" si="1"/>
        <v>6.6323625969265193E-2</v>
      </c>
      <c r="F12" s="25">
        <f t="shared" si="1"/>
        <v>6.6323420074349437E-2</v>
      </c>
      <c r="G12" s="25">
        <f t="shared" si="1"/>
        <v>6.6323638796077694E-2</v>
      </c>
      <c r="H12" s="23"/>
      <c r="I12" s="23" t="s">
        <v>64</v>
      </c>
      <c r="J12" s="152" t="s">
        <v>65</v>
      </c>
      <c r="K12" s="152"/>
      <c r="L12" s="152"/>
      <c r="M12" s="152"/>
      <c r="N12" s="152"/>
      <c r="O12" s="20"/>
      <c r="P12" s="20" t="s">
        <v>87</v>
      </c>
      <c r="Q12" s="20"/>
      <c r="R12" s="21">
        <v>5.718</v>
      </c>
      <c r="S12" s="20"/>
      <c r="T12" s="22">
        <v>6.883</v>
      </c>
      <c r="U12" s="20"/>
      <c r="V12" s="22">
        <v>7.0979999999999999</v>
      </c>
      <c r="W12" s="20"/>
      <c r="X12" s="22">
        <v>6.585</v>
      </c>
      <c r="Y12" s="20"/>
      <c r="Z12" s="22">
        <v>6.8949999999999996</v>
      </c>
      <c r="AA12" s="19">
        <v>7.1210000000000004</v>
      </c>
    </row>
    <row r="13" spans="1:27" x14ac:dyDescent="0.35">
      <c r="A13" s="151"/>
      <c r="B13" s="146"/>
      <c r="C13" s="20"/>
      <c r="D13" s="20"/>
      <c r="E13" s="20"/>
      <c r="F13" s="20"/>
      <c r="G13" s="20"/>
      <c r="H13" s="20"/>
      <c r="I13" s="146"/>
      <c r="J13" s="146"/>
      <c r="K13" s="146"/>
      <c r="L13" s="146"/>
      <c r="M13" s="146"/>
      <c r="N13" s="146"/>
      <c r="O13" s="20"/>
      <c r="P13" s="147"/>
      <c r="Q13" s="147"/>
      <c r="R13" s="147"/>
      <c r="S13" s="154"/>
      <c r="T13" s="154"/>
      <c r="U13" s="154"/>
      <c r="V13" s="154"/>
      <c r="W13" s="154"/>
      <c r="X13" s="154"/>
      <c r="Y13" s="154"/>
      <c r="Z13" s="154"/>
      <c r="AA13" s="155"/>
    </row>
    <row r="14" spans="1:27" ht="13.15" x14ac:dyDescent="0.35">
      <c r="A14" s="19" t="s">
        <v>73</v>
      </c>
      <c r="B14" s="21">
        <v>34.549999999999997</v>
      </c>
      <c r="C14" s="22">
        <v>37.729999999999997</v>
      </c>
      <c r="D14" s="22">
        <v>40.744</v>
      </c>
      <c r="E14" s="22">
        <v>41.851999999999997</v>
      </c>
      <c r="F14" s="22">
        <v>44.664999999999999</v>
      </c>
      <c r="G14" s="22">
        <v>48.776000000000003</v>
      </c>
      <c r="H14" s="20"/>
      <c r="I14" s="20"/>
      <c r="J14" s="33">
        <v>46266</v>
      </c>
      <c r="K14" s="33">
        <v>46631</v>
      </c>
      <c r="L14" s="33">
        <v>46997</v>
      </c>
      <c r="M14" s="33">
        <v>47362</v>
      </c>
      <c r="N14" s="33">
        <v>47727</v>
      </c>
      <c r="O14" s="20"/>
      <c r="P14" s="20" t="s">
        <v>88</v>
      </c>
      <c r="Q14" s="20"/>
      <c r="R14" s="34">
        <f>SUM(R6:R12)</f>
        <v>-24.364999999999998</v>
      </c>
      <c r="S14" s="20"/>
      <c r="T14" s="20">
        <f>SUM(T6:T12)</f>
        <v>-25.581000000000007</v>
      </c>
      <c r="U14" s="20"/>
      <c r="V14" s="22">
        <v>-24.17</v>
      </c>
      <c r="W14" s="20"/>
      <c r="X14" s="22">
        <v>-20.385999999999999</v>
      </c>
      <c r="Y14" s="20"/>
      <c r="Z14" s="22">
        <v>-18.95</v>
      </c>
      <c r="AA14" s="19">
        <v>-16.896000000000001</v>
      </c>
    </row>
    <row r="15" spans="1:27" x14ac:dyDescent="0.35">
      <c r="A15" s="26" t="s">
        <v>67</v>
      </c>
      <c r="B15" s="25">
        <f t="shared" ref="B15:G15" si="2" xml:space="preserve"> 1 / (B5/B14)</f>
        <v>8.3020753987038662E-2</v>
      </c>
      <c r="C15" s="25">
        <f t="shared" si="2"/>
        <v>8.3021425380835748E-2</v>
      </c>
      <c r="D15" s="25">
        <f t="shared" si="2"/>
        <v>8.3019882878881124E-2</v>
      </c>
      <c r="E15" s="25">
        <f t="shared" si="2"/>
        <v>8.3020080576213143E-2</v>
      </c>
      <c r="F15" s="25">
        <f t="shared" si="2"/>
        <v>8.3020446096654266E-2</v>
      </c>
      <c r="G15" s="25">
        <f t="shared" si="2"/>
        <v>8.3021141659844117E-2</v>
      </c>
      <c r="H15" s="23"/>
      <c r="I15" s="146"/>
      <c r="J15" s="146"/>
      <c r="K15" s="146"/>
      <c r="L15" s="146"/>
      <c r="M15" s="146"/>
      <c r="N15" s="146"/>
      <c r="O15" s="20"/>
      <c r="P15" s="20" t="s">
        <v>89</v>
      </c>
      <c r="Q15" s="20"/>
      <c r="R15" s="34"/>
      <c r="S15" s="20"/>
      <c r="T15" s="20">
        <f>T14-R14</f>
        <v>-1.2160000000000082</v>
      </c>
      <c r="U15" s="20"/>
      <c r="V15" s="20">
        <f>V14-T14</f>
        <v>1.4110000000000049</v>
      </c>
      <c r="W15" s="20"/>
      <c r="X15" s="20">
        <f>X14-V14</f>
        <v>3.7840000000000025</v>
      </c>
      <c r="Y15" s="20"/>
      <c r="Z15" s="20">
        <f>Z14-X14</f>
        <v>1.4359999999999999</v>
      </c>
      <c r="AA15" s="19">
        <f>AA14-Z14</f>
        <v>2.0539999999999985</v>
      </c>
    </row>
    <row r="16" spans="1:27" x14ac:dyDescent="0.35">
      <c r="A16" s="151"/>
      <c r="B16" s="146"/>
      <c r="C16" s="20"/>
      <c r="D16" s="20"/>
      <c r="E16" s="20"/>
      <c r="F16" s="20"/>
      <c r="G16" s="20"/>
      <c r="H16" s="20"/>
      <c r="I16" s="20" t="s">
        <v>77</v>
      </c>
      <c r="J16" s="22">
        <v>12.794</v>
      </c>
      <c r="K16" s="22">
        <v>13.816000000000001</v>
      </c>
      <c r="L16" s="22">
        <v>14.192</v>
      </c>
      <c r="M16" s="22">
        <v>15.146000000000001</v>
      </c>
      <c r="N16" s="22">
        <v>16.54</v>
      </c>
      <c r="O16" s="20"/>
      <c r="P16" s="156"/>
      <c r="Q16" s="156"/>
      <c r="R16" s="20"/>
      <c r="S16" s="20"/>
      <c r="T16" s="20"/>
      <c r="U16" s="20"/>
      <c r="V16" s="20"/>
      <c r="W16" s="20"/>
      <c r="X16" s="20"/>
      <c r="Y16" s="20"/>
      <c r="Z16" s="20"/>
      <c r="AA16" s="19"/>
    </row>
    <row r="17" spans="1:27" x14ac:dyDescent="0.35">
      <c r="A17" s="19" t="s">
        <v>74</v>
      </c>
      <c r="B17" s="21">
        <v>0.32100000000000001</v>
      </c>
      <c r="C17" s="22">
        <v>0.35099999999999998</v>
      </c>
      <c r="D17" s="22">
        <v>0.379</v>
      </c>
      <c r="E17" s="22">
        <v>0.38900000000000001</v>
      </c>
      <c r="F17" s="22">
        <v>0.41499999999999998</v>
      </c>
      <c r="G17" s="22">
        <v>0.45300000000000001</v>
      </c>
      <c r="H17" s="20"/>
      <c r="I17" s="23" t="s">
        <v>67</v>
      </c>
      <c r="J17" s="23">
        <f>1/(B5/J16)</f>
        <v>3.0742909595084595E-2</v>
      </c>
      <c r="K17" s="23">
        <f>1/(C5/K16)</f>
        <v>3.0400848477647152E-2</v>
      </c>
      <c r="L17" s="23">
        <f>1/(D5/L16)</f>
        <v>2.8917587321251735E-2</v>
      </c>
      <c r="M17" s="23">
        <f>1/(E5/M16)</f>
        <v>3.0044493462853015E-2</v>
      </c>
      <c r="N17" s="23">
        <f>1/(F5/N16)</f>
        <v>3.0743494423791821E-2</v>
      </c>
      <c r="O17" s="20"/>
      <c r="P17" s="156"/>
      <c r="Q17" s="156"/>
      <c r="R17" s="20"/>
      <c r="S17" s="20"/>
      <c r="T17" s="20"/>
      <c r="U17" s="20"/>
      <c r="V17" s="20"/>
      <c r="W17" s="20"/>
      <c r="X17" s="20"/>
      <c r="Y17" s="20"/>
      <c r="Z17" s="20"/>
      <c r="AA17" s="19"/>
    </row>
    <row r="18" spans="1:27" x14ac:dyDescent="0.35">
      <c r="A18" s="26" t="s">
        <v>67</v>
      </c>
      <c r="B18" s="25">
        <f t="shared" ref="B18:G18" si="3" xml:space="preserve"> 1 / (B5/B17)</f>
        <v>7.7133609348305112E-4</v>
      </c>
      <c r="C18" s="25">
        <f t="shared" si="3"/>
        <v>7.7234350142256426E-4</v>
      </c>
      <c r="D18" s="25">
        <f t="shared" si="3"/>
        <v>7.7224954867209758E-4</v>
      </c>
      <c r="E18" s="25">
        <f t="shared" si="3"/>
        <v>7.7164320329128628E-4</v>
      </c>
      <c r="F18" s="25">
        <f t="shared" si="3"/>
        <v>7.7137546468401472E-4</v>
      </c>
      <c r="G18" s="25">
        <f t="shared" si="3"/>
        <v>7.7104676832682854E-4</v>
      </c>
      <c r="H18" s="23"/>
      <c r="I18" s="20"/>
      <c r="J18" s="20"/>
      <c r="K18" s="20"/>
      <c r="L18" s="20"/>
      <c r="M18" s="20"/>
      <c r="N18" s="20"/>
      <c r="O18" s="20"/>
      <c r="P18" s="156"/>
      <c r="Q18" s="156"/>
      <c r="R18" s="20"/>
      <c r="S18" s="20"/>
      <c r="T18" s="20"/>
      <c r="U18" s="20"/>
      <c r="V18" s="20"/>
      <c r="W18" s="20"/>
      <c r="X18" s="20"/>
      <c r="Y18" s="20"/>
      <c r="Z18" s="20"/>
      <c r="AA18" s="19"/>
    </row>
    <row r="19" spans="1:27" ht="13.5" thickBot="1" x14ac:dyDescent="0.4">
      <c r="A19" s="35"/>
      <c r="B19" s="36"/>
      <c r="C19" s="37"/>
      <c r="D19" s="37"/>
      <c r="E19" s="37"/>
      <c r="F19" s="37"/>
      <c r="G19" s="37"/>
      <c r="H19" s="37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19"/>
    </row>
    <row r="20" spans="1:27" ht="13.15" thickTop="1" x14ac:dyDescent="0.35">
      <c r="A20" s="26" t="s">
        <v>76</v>
      </c>
      <c r="B20" s="34">
        <f t="shared" ref="B20:G20" si="4">B5 - (B8+B11+B14+B17)</f>
        <v>132.72899999999998</v>
      </c>
      <c r="C20" s="34">
        <f t="shared" si="4"/>
        <v>157.00799999999998</v>
      </c>
      <c r="D20" s="34">
        <f t="shared" si="4"/>
        <v>181.93200000000002</v>
      </c>
      <c r="E20" s="34">
        <f t="shared" si="4"/>
        <v>198.95700000000005</v>
      </c>
      <c r="F20" s="34">
        <f t="shared" si="4"/>
        <v>224.57399999999996</v>
      </c>
      <c r="G20" s="34">
        <f t="shared" si="4"/>
        <v>257.94500000000005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19"/>
    </row>
    <row r="21" spans="1:27" x14ac:dyDescent="0.35">
      <c r="A21" s="26" t="s">
        <v>67</v>
      </c>
      <c r="B21" s="23">
        <f t="shared" ref="B21:G21" si="5">1 / ( B5/B20)</f>
        <v>0.31893666153243572</v>
      </c>
      <c r="C21" s="23">
        <f t="shared" si="5"/>
        <v>0.34548179051667793</v>
      </c>
      <c r="D21" s="23">
        <f t="shared" si="5"/>
        <v>0.37070423453565188</v>
      </c>
      <c r="E21" s="23">
        <f t="shared" si="5"/>
        <v>0.39466276811625833</v>
      </c>
      <c r="F21" s="23">
        <f t="shared" si="5"/>
        <v>0.41742379182156131</v>
      </c>
      <c r="G21" s="23">
        <f t="shared" si="5"/>
        <v>0.43904560409727111</v>
      </c>
      <c r="H21" s="23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19"/>
    </row>
    <row r="22" spans="1:27" x14ac:dyDescent="0.35">
      <c r="A22" s="19"/>
      <c r="B22" s="34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19"/>
    </row>
    <row r="23" spans="1:27" x14ac:dyDescent="0.35">
      <c r="A23" s="19" t="s">
        <v>75</v>
      </c>
      <c r="B23" s="34">
        <f t="shared" ref="B23:G23" si="6">B20*B24</f>
        <v>21.236639999999998</v>
      </c>
      <c r="C23" s="34">
        <f t="shared" si="6"/>
        <v>25.121279999999999</v>
      </c>
      <c r="D23" s="34">
        <f t="shared" si="6"/>
        <v>29.109120000000004</v>
      </c>
      <c r="E23" s="34">
        <f t="shared" si="6"/>
        <v>31.833120000000008</v>
      </c>
      <c r="F23" s="34">
        <f t="shared" si="6"/>
        <v>35.931839999999994</v>
      </c>
      <c r="G23" s="34">
        <f t="shared" si="6"/>
        <v>41.271200000000007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19"/>
    </row>
    <row r="24" spans="1:27" ht="13.5" thickBot="1" x14ac:dyDescent="0.4">
      <c r="A24" s="35" t="s">
        <v>68</v>
      </c>
      <c r="B24" s="39">
        <v>0.16</v>
      </c>
      <c r="C24" s="40">
        <v>0.16</v>
      </c>
      <c r="D24" s="40">
        <v>0.16</v>
      </c>
      <c r="E24" s="40">
        <v>0.16</v>
      </c>
      <c r="F24" s="40">
        <v>0.16</v>
      </c>
      <c r="G24" s="40">
        <v>0.16</v>
      </c>
      <c r="H24" s="37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19"/>
    </row>
    <row r="25" spans="1:27" ht="13.15" thickTop="1" x14ac:dyDescent="0.35">
      <c r="A25" s="159"/>
      <c r="B25" s="147"/>
      <c r="C25" s="154"/>
      <c r="D25" s="154"/>
      <c r="E25" s="154"/>
      <c r="F25" s="154"/>
      <c r="G25" s="154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19"/>
    </row>
    <row r="26" spans="1:27" x14ac:dyDescent="0.35">
      <c r="A26" s="19" t="s">
        <v>69</v>
      </c>
      <c r="B26" s="34">
        <f t="shared" ref="B26:G26" si="7">B20-B23</f>
        <v>111.49235999999999</v>
      </c>
      <c r="C26" s="34">
        <f t="shared" si="7"/>
        <v>131.88671999999997</v>
      </c>
      <c r="D26" s="34">
        <f t="shared" si="7"/>
        <v>152.82288</v>
      </c>
      <c r="E26" s="34">
        <f t="shared" si="7"/>
        <v>167.12388000000004</v>
      </c>
      <c r="F26" s="34">
        <f t="shared" si="7"/>
        <v>188.64215999999996</v>
      </c>
      <c r="G26" s="34">
        <f t="shared" si="7"/>
        <v>216.67380000000003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19"/>
    </row>
    <row r="27" spans="1:27" x14ac:dyDescent="0.35">
      <c r="A27" s="26" t="s">
        <v>70</v>
      </c>
      <c r="B27" s="25">
        <f t="shared" ref="B27:G27" si="8">1/(B5/B26)</f>
        <v>0.26790679568724601</v>
      </c>
      <c r="C27" s="25">
        <f t="shared" si="8"/>
        <v>0.29020470403400944</v>
      </c>
      <c r="D27" s="25">
        <f t="shared" si="8"/>
        <v>0.31139155700994753</v>
      </c>
      <c r="E27" s="25">
        <f t="shared" si="8"/>
        <v>0.33151672521765702</v>
      </c>
      <c r="F27" s="25">
        <f t="shared" si="8"/>
        <v>0.35063598513011146</v>
      </c>
      <c r="G27" s="25">
        <f t="shared" si="8"/>
        <v>0.36879830744170766</v>
      </c>
      <c r="H27" s="23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19"/>
    </row>
    <row r="28" spans="1:27" x14ac:dyDescent="0.35">
      <c r="A28" s="19"/>
      <c r="B28" s="20"/>
      <c r="C28" s="75" t="str">
        <f>IF(C27 &gt; B27,"Increase","Decrease")</f>
        <v>Increase</v>
      </c>
      <c r="D28" s="20" t="str">
        <f>IF(D27 &gt; C27,"Increase","Decrease")</f>
        <v>Increase</v>
      </c>
      <c r="E28" s="20" t="str">
        <f>IF(E27 &gt; D27,"Increase","Decrease")</f>
        <v>Increase</v>
      </c>
      <c r="F28" s="20" t="str">
        <f>IF(F27 &gt; E27,"Increase","Decrease")</f>
        <v>Increase</v>
      </c>
      <c r="G28" s="31" t="str">
        <f>IF(G27 &gt; F27,"Increase","Decrease")</f>
        <v>Increase</v>
      </c>
      <c r="H28" s="31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19"/>
    </row>
    <row r="29" spans="1:27" ht="13.15" x14ac:dyDescent="0.35">
      <c r="A29" s="41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19"/>
    </row>
    <row r="30" spans="1:27" s="12" customFormat="1" ht="14.25" x14ac:dyDescent="0.4">
      <c r="A30" s="14"/>
      <c r="B30" s="42"/>
      <c r="C30" s="42"/>
      <c r="D30" s="42"/>
      <c r="E30" s="42"/>
      <c r="F30" s="42"/>
      <c r="G30" s="42"/>
      <c r="H30" s="148" t="s">
        <v>288</v>
      </c>
      <c r="I30" s="149"/>
      <c r="J30" s="149"/>
      <c r="K30" s="149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14"/>
    </row>
    <row r="31" spans="1:27" s="12" customFormat="1" ht="13.15" x14ac:dyDescent="0.4">
      <c r="A31" s="13" t="s">
        <v>64</v>
      </c>
      <c r="B31" s="42"/>
      <c r="C31" s="42" t="s">
        <v>90</v>
      </c>
      <c r="D31" s="42"/>
      <c r="E31" s="42"/>
      <c r="F31" s="42"/>
      <c r="G31" s="42"/>
      <c r="H31" s="43" t="s">
        <v>91</v>
      </c>
      <c r="I31" s="144" t="s">
        <v>92</v>
      </c>
      <c r="J31" s="144"/>
      <c r="K31" s="144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14"/>
    </row>
    <row r="32" spans="1:27" s="12" customFormat="1" ht="13.15" x14ac:dyDescent="0.4">
      <c r="A32" s="14"/>
      <c r="B32" s="42"/>
      <c r="C32" s="42"/>
      <c r="D32" s="42"/>
      <c r="E32" s="42"/>
      <c r="F32" s="42"/>
      <c r="G32" s="42"/>
      <c r="H32" s="44" t="s">
        <v>93</v>
      </c>
      <c r="I32" s="144" t="s">
        <v>94</v>
      </c>
      <c r="J32" s="144"/>
      <c r="K32" s="144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14"/>
    </row>
    <row r="33" spans="1:27" ht="13.5" thickBot="1" x14ac:dyDescent="0.4">
      <c r="A33" s="45"/>
      <c r="B33" s="46">
        <v>45901</v>
      </c>
      <c r="C33" s="47">
        <v>46266</v>
      </c>
      <c r="D33" s="47">
        <v>46631</v>
      </c>
      <c r="E33" s="47">
        <v>46997</v>
      </c>
      <c r="F33" s="47">
        <v>47362</v>
      </c>
      <c r="G33" s="47">
        <v>47727</v>
      </c>
      <c r="H33" s="48" t="s">
        <v>105</v>
      </c>
      <c r="I33" s="145" t="s">
        <v>95</v>
      </c>
      <c r="J33" s="145"/>
      <c r="K33" s="145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19"/>
    </row>
    <row r="34" spans="1:27" s="12" customFormat="1" ht="13.5" thickTop="1" x14ac:dyDescent="0.4">
      <c r="A34" s="14"/>
      <c r="B34" s="74">
        <f>B26+J11-J16-R14</f>
        <v>125.62235999999999</v>
      </c>
      <c r="C34" s="74">
        <f>C26+J11-J16-T15</f>
        <v>122.86771999999998</v>
      </c>
      <c r="D34" s="74">
        <f>D26+K11-K16-V15</f>
        <v>142.91788</v>
      </c>
      <c r="E34" s="74">
        <f>E26+L11-L16-X15</f>
        <v>157.30788000000004</v>
      </c>
      <c r="F34" s="74">
        <f>F26+M11-M16-Z15</f>
        <v>183.24915999999993</v>
      </c>
      <c r="G34" s="74">
        <f>G26+N11-N16-AA15</f>
        <v>212.57680000000005</v>
      </c>
      <c r="H34" s="49" t="s">
        <v>96</v>
      </c>
      <c r="I34" s="129">
        <v>8.2100000000000006E-2</v>
      </c>
      <c r="J34" s="130"/>
      <c r="K34" s="130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14"/>
    </row>
    <row r="35" spans="1:27" s="12" customFormat="1" ht="13.15" x14ac:dyDescent="0.4">
      <c r="A35" s="14"/>
      <c r="B35" s="42"/>
      <c r="C35" s="74">
        <f xml:space="preserve"> C34/B34 - 1</f>
        <v>-2.1927943401158889E-2</v>
      </c>
      <c r="D35" s="74">
        <f xml:space="preserve"> D34/C34 - 1</f>
        <v>0.16318492766041426</v>
      </c>
      <c r="E35" s="74">
        <f xml:space="preserve"> E34/D34 - 1</f>
        <v>0.10068719183352037</v>
      </c>
      <c r="F35" s="74">
        <f xml:space="preserve"> F34/E34 - 1</f>
        <v>0.16490769566025487</v>
      </c>
      <c r="G35" s="74">
        <f xml:space="preserve"> G34/F34 - 1</f>
        <v>0.16004242529679336</v>
      </c>
      <c r="H35" s="43" t="s">
        <v>97</v>
      </c>
      <c r="I35" s="131">
        <v>0.158</v>
      </c>
      <c r="J35" s="132"/>
      <c r="K35" s="13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14"/>
    </row>
    <row r="36" spans="1:27" s="12" customFormat="1" ht="13.15" x14ac:dyDescent="0.4">
      <c r="A36" s="13" t="s">
        <v>64</v>
      </c>
      <c r="B36" s="42"/>
      <c r="C36" s="42" t="s">
        <v>103</v>
      </c>
      <c r="D36" s="42"/>
      <c r="E36" s="42"/>
      <c r="F36" s="42"/>
      <c r="G36" s="42"/>
      <c r="H36" s="44" t="s">
        <v>98</v>
      </c>
      <c r="I36" s="133">
        <v>0.05</v>
      </c>
      <c r="J36" s="134"/>
      <c r="K36" s="134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14"/>
    </row>
    <row r="37" spans="1:27" ht="13.5" thickBot="1" x14ac:dyDescent="0.4">
      <c r="A37" s="45"/>
      <c r="B37" s="47"/>
      <c r="C37" s="47"/>
      <c r="D37" s="47"/>
      <c r="E37" s="47"/>
      <c r="F37" s="47"/>
      <c r="G37" s="47"/>
      <c r="H37" s="48" t="s">
        <v>99</v>
      </c>
      <c r="I37" s="136">
        <v>3785357</v>
      </c>
      <c r="J37" s="137"/>
      <c r="K37" s="13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19"/>
    </row>
    <row r="38" spans="1:27" ht="13.5" thickTop="1" x14ac:dyDescent="0.35">
      <c r="A38" s="19"/>
      <c r="B38" s="50">
        <v>45901</v>
      </c>
      <c r="C38" s="33">
        <v>46266</v>
      </c>
      <c r="D38" s="33">
        <v>46631</v>
      </c>
      <c r="E38" s="33">
        <v>46997</v>
      </c>
      <c r="F38" s="33">
        <v>47362</v>
      </c>
      <c r="G38" s="33">
        <v>47727</v>
      </c>
      <c r="H38" s="51" t="s">
        <v>100</v>
      </c>
      <c r="I38" s="138">
        <v>45192</v>
      </c>
      <c r="J38" s="139"/>
      <c r="K38" s="139"/>
      <c r="L38" s="117">
        <v>45.192</v>
      </c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19"/>
    </row>
    <row r="39" spans="1:27" ht="13.15" x14ac:dyDescent="0.35">
      <c r="A39" s="19"/>
      <c r="B39" s="32" t="s">
        <v>104</v>
      </c>
      <c r="C39" s="32">
        <f>C34/(1+$I$41)^1</f>
        <v>113.59516390398406</v>
      </c>
      <c r="D39" s="32">
        <f>D34/(1+$I$41)^2</f>
        <v>122.16045784045936</v>
      </c>
      <c r="E39" s="32">
        <f>E34/(1+$I$41)^3</f>
        <v>124.31301731073226</v>
      </c>
      <c r="F39" s="32">
        <f>F34/(1+$I$41)^4</f>
        <v>133.88445813430815</v>
      </c>
      <c r="G39" s="32">
        <f>G34/(1+$I$41)^5</f>
        <v>143.59062340401312</v>
      </c>
      <c r="H39" s="52" t="s">
        <v>101</v>
      </c>
      <c r="I39" s="140">
        <f>I37/(I37+I38)</f>
        <v>0.98820221331198221</v>
      </c>
      <c r="J39" s="140"/>
      <c r="K39" s="14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19"/>
    </row>
    <row r="40" spans="1:27" ht="13.15" x14ac:dyDescent="0.35">
      <c r="A40" s="19"/>
      <c r="B40" s="32"/>
      <c r="C40" s="32"/>
      <c r="D40" s="32">
        <f>D39/C39 - 1</f>
        <v>7.5401924185039215E-2</v>
      </c>
      <c r="E40" s="32">
        <f>E39/D39 - 1</f>
        <v>1.7620754770615976E-2</v>
      </c>
      <c r="F40" s="32">
        <f>F39/E39 - 1</f>
        <v>7.6994678679958017E-2</v>
      </c>
      <c r="G40" s="32">
        <f>G39/F39 - 1</f>
        <v>7.24965795504664E-2</v>
      </c>
      <c r="H40" s="53" t="s">
        <v>102</v>
      </c>
      <c r="I40" s="141">
        <f>I38/(I38+I37)</f>
        <v>1.1797786688017828E-2</v>
      </c>
      <c r="J40" s="141"/>
      <c r="K40" s="141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19"/>
    </row>
    <row r="41" spans="1:27" ht="13.5" thickBot="1" x14ac:dyDescent="0.4">
      <c r="A41" s="54" t="s">
        <v>64</v>
      </c>
      <c r="B41" s="47"/>
      <c r="C41" s="47" t="s">
        <v>106</v>
      </c>
      <c r="D41" s="47"/>
      <c r="E41" s="47"/>
      <c r="F41" s="47"/>
      <c r="G41" s="47"/>
      <c r="H41" s="48" t="s">
        <v>91</v>
      </c>
      <c r="I41" s="142">
        <f>I34*I39+I36*(1-I35)*I40</f>
        <v>8.1628088532479298E-2</v>
      </c>
      <c r="J41" s="142"/>
      <c r="K41" s="142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19"/>
    </row>
    <row r="42" spans="1:27" s="12" customFormat="1" ht="13.9" thickTop="1" thickBot="1" x14ac:dyDescent="0.45">
      <c r="A42" s="14"/>
      <c r="B42" s="42"/>
      <c r="C42" s="42"/>
      <c r="D42" s="42"/>
      <c r="E42" s="42"/>
      <c r="F42" s="42"/>
      <c r="G42" s="42"/>
      <c r="H42" s="49" t="s">
        <v>107</v>
      </c>
      <c r="I42" s="143" t="s">
        <v>108</v>
      </c>
      <c r="J42" s="143"/>
      <c r="K42" s="1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14"/>
    </row>
    <row r="43" spans="1:27" s="12" customFormat="1" ht="13.15" x14ac:dyDescent="0.4">
      <c r="A43" s="14"/>
      <c r="B43" s="55">
        <v>45901</v>
      </c>
      <c r="C43" s="56">
        <v>46266</v>
      </c>
      <c r="D43" s="57">
        <v>46631</v>
      </c>
      <c r="E43" s="57">
        <v>46997</v>
      </c>
      <c r="F43" s="57">
        <v>47362</v>
      </c>
      <c r="G43" s="58">
        <v>47727</v>
      </c>
      <c r="H43" s="43" t="s">
        <v>289</v>
      </c>
      <c r="I43" s="128">
        <v>0.03</v>
      </c>
      <c r="J43" s="128"/>
      <c r="K43" s="128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14"/>
    </row>
    <row r="44" spans="1:27" ht="13.15" x14ac:dyDescent="0.35">
      <c r="A44" s="19"/>
      <c r="B44" s="32" t="s">
        <v>104</v>
      </c>
      <c r="C44" s="59">
        <v>0</v>
      </c>
      <c r="D44" s="32">
        <v>0</v>
      </c>
      <c r="E44" s="32">
        <v>0</v>
      </c>
      <c r="F44" s="32">
        <v>0</v>
      </c>
      <c r="G44" s="60">
        <f>I44/(I41-I43)</f>
        <v>2864.6875433532755</v>
      </c>
      <c r="H44" s="53" t="s">
        <v>113</v>
      </c>
      <c r="I44" s="135">
        <f>G39*(I43+1)</f>
        <v>147.89834210613353</v>
      </c>
      <c r="J44" s="135"/>
      <c r="K44" s="135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19"/>
    </row>
    <row r="45" spans="1:27" ht="13.5" thickBot="1" x14ac:dyDescent="0.4">
      <c r="A45" s="61" t="s">
        <v>64</v>
      </c>
      <c r="B45" s="62"/>
      <c r="C45" s="63" t="s">
        <v>111</v>
      </c>
      <c r="D45" s="62"/>
      <c r="E45" s="62"/>
      <c r="F45" s="62"/>
      <c r="G45" s="64"/>
      <c r="H45" s="65" t="s">
        <v>287</v>
      </c>
      <c r="I45" s="126">
        <v>15.12</v>
      </c>
      <c r="J45" s="127"/>
      <c r="K45" s="127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19"/>
    </row>
    <row r="46" spans="1:27" ht="13.9" thickTop="1" thickBot="1" x14ac:dyDescent="0.4">
      <c r="A46" s="66"/>
      <c r="B46" s="66"/>
      <c r="C46" s="67"/>
      <c r="D46" s="66"/>
      <c r="E46" s="66"/>
      <c r="F46" s="66"/>
      <c r="G46" s="68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19"/>
    </row>
    <row r="47" spans="1:27" ht="13.5" thickTop="1" x14ac:dyDescent="0.35">
      <c r="A47" s="19"/>
      <c r="B47" s="69"/>
      <c r="C47" s="116" t="s">
        <v>109</v>
      </c>
      <c r="D47" s="70"/>
      <c r="E47" s="70" t="s">
        <v>110</v>
      </c>
      <c r="F47" s="70"/>
      <c r="G47" s="71" t="s">
        <v>112</v>
      </c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1:27" ht="13.5" thickBot="1" x14ac:dyDescent="0.4">
      <c r="A48" s="19"/>
      <c r="B48" s="72" t="s">
        <v>104</v>
      </c>
      <c r="C48" s="120">
        <f>G44+G39+F39+E39+D39+C39</f>
        <v>3502.2312639467727</v>
      </c>
      <c r="D48" s="73"/>
      <c r="E48" s="119">
        <f>C48-L38</f>
        <v>3457.0392639467727</v>
      </c>
      <c r="F48" s="73"/>
      <c r="G48" s="118">
        <f>E48/I45</f>
        <v>228.64016295944265</v>
      </c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</row>
    <row r="49" spans="1:27" x14ac:dyDescent="0.3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</row>
    <row r="50" spans="1:27" x14ac:dyDescent="0.35">
      <c r="A50" s="19"/>
      <c r="B50" s="19" t="s">
        <v>274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</row>
  </sheetData>
  <mergeCells count="44">
    <mergeCell ref="A25:B25"/>
    <mergeCell ref="C25:G25"/>
    <mergeCell ref="C1:G1"/>
    <mergeCell ref="A2:B2"/>
    <mergeCell ref="A4:B4"/>
    <mergeCell ref="A7:B7"/>
    <mergeCell ref="A10:B10"/>
    <mergeCell ref="A13:B13"/>
    <mergeCell ref="S1:AA1"/>
    <mergeCell ref="I13:N13"/>
    <mergeCell ref="I2:M2"/>
    <mergeCell ref="P2:R2"/>
    <mergeCell ref="A16:B16"/>
    <mergeCell ref="I4:M4"/>
    <mergeCell ref="P4:R4"/>
    <mergeCell ref="J12:N12"/>
    <mergeCell ref="J1:N1"/>
    <mergeCell ref="P1:Q1"/>
    <mergeCell ref="S13:AA13"/>
    <mergeCell ref="P16:Q18"/>
    <mergeCell ref="S3:T3"/>
    <mergeCell ref="U3:V3"/>
    <mergeCell ref="W3:X3"/>
    <mergeCell ref="Y3:Z3"/>
    <mergeCell ref="I31:K31"/>
    <mergeCell ref="I32:K32"/>
    <mergeCell ref="I33:K33"/>
    <mergeCell ref="P7:R7"/>
    <mergeCell ref="P10:R10"/>
    <mergeCell ref="P13:R13"/>
    <mergeCell ref="I15:N15"/>
    <mergeCell ref="H30:K30"/>
    <mergeCell ref="I45:K45"/>
    <mergeCell ref="I43:K43"/>
    <mergeCell ref="I34:K34"/>
    <mergeCell ref="I35:K35"/>
    <mergeCell ref="I36:K36"/>
    <mergeCell ref="I44:K44"/>
    <mergeCell ref="I37:K37"/>
    <mergeCell ref="I38:K38"/>
    <mergeCell ref="I39:K39"/>
    <mergeCell ref="I40:K40"/>
    <mergeCell ref="I41:K41"/>
    <mergeCell ref="I42:K4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5b632e6-b938-4257-8e9a-d46098a434e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41A8C3EBADC4AA4116EEB90B73D8D" ma:contentTypeVersion="16" ma:contentTypeDescription="Crée un document." ma:contentTypeScope="" ma:versionID="5f33f83e984796e540764a69c690c2b8">
  <xsd:schema xmlns:xsd="http://www.w3.org/2001/XMLSchema" xmlns:xs="http://www.w3.org/2001/XMLSchema" xmlns:p="http://schemas.microsoft.com/office/2006/metadata/properties" xmlns:ns3="35b632e6-b938-4257-8e9a-d46098a434e1" xmlns:ns4="18dc4840-f02f-4a5f-8ac1-8417c7c17f91" targetNamespace="http://schemas.microsoft.com/office/2006/metadata/properties" ma:root="true" ma:fieldsID="a15c39ce18a1b25d392f3a5b8fcf066f" ns3:_="" ns4:_="">
    <xsd:import namespace="35b632e6-b938-4257-8e9a-d46098a434e1"/>
    <xsd:import namespace="18dc4840-f02f-4a5f-8ac1-8417c7c17f9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b632e6-b938-4257-8e9a-d46098a434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dc4840-f02f-4a5f-8ac1-8417c7c17f9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A7539B-436C-463B-8EC4-B4486FEFC799}">
  <ds:schemaRefs>
    <ds:schemaRef ds:uri="http://purl.org/dc/dcmitype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elements/1.1/"/>
    <ds:schemaRef ds:uri="18dc4840-f02f-4a5f-8ac1-8417c7c17f91"/>
    <ds:schemaRef ds:uri="http://schemas.microsoft.com/office/2006/documentManagement/types"/>
    <ds:schemaRef ds:uri="http://schemas.microsoft.com/office/2006/metadata/properties"/>
    <ds:schemaRef ds:uri="35b632e6-b938-4257-8e9a-d46098a434e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3FA15A9-A7B7-4097-AD2A-828C1E94B3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b632e6-b938-4257-8e9a-d46098a434e1"/>
    <ds:schemaRef ds:uri="18dc4840-f02f-4a5f-8ac1-8417c7c17f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62AD5F5-A587-432B-9476-F34568EAE0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1_Selection_Justification</vt:lpstr>
      <vt:lpstr>2_Calculs_Interpretation</vt:lpstr>
      <vt:lpstr>3_Sources_Documentation</vt:lpstr>
      <vt:lpstr>Benchmarking</vt:lpstr>
      <vt:lpstr>Multiple Valuation</vt:lpstr>
      <vt:lpstr>Income Statement</vt:lpstr>
      <vt:lpstr>Balance Sheet</vt:lpstr>
      <vt:lpstr>Cash Flow</vt:lpstr>
      <vt:lpstr>Discounted Cash 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RAMDOYAL Lucky</cp:lastModifiedBy>
  <cp:lastPrinted>2026-03-15T21:28:48Z</cp:lastPrinted>
  <dcterms:created xsi:type="dcterms:W3CDTF">2026-03-06T13:26:33Z</dcterms:created>
  <dcterms:modified xsi:type="dcterms:W3CDTF">2026-03-17T08:49:01Z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0x01010013341A8C3EBADC4AA4116EEB90B73D8D</vt:lpwstr>
  </property>
</Properties>
</file>