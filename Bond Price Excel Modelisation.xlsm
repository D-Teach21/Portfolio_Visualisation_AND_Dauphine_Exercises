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3664\Documents\"/>
    </mc:Choice>
  </mc:AlternateContent>
  <xr:revisionPtr revIDLastSave="0" documentId="8_{D9FF0440-B598-46D9-9561-DE3D90203A93}" xr6:coauthVersionLast="47" xr6:coauthVersionMax="47" xr10:uidLastSave="{00000000-0000-0000-0000-000000000000}"/>
  <bookViews>
    <workbookView xWindow="-98" yWindow="-98" windowWidth="21795" windowHeight="13695" xr2:uid="{B9CEA5B2-C2A2-49CA-9C6E-F331F3AFCA98}"/>
  </bookViews>
  <sheets>
    <sheet name="Bond price varia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1" l="1"/>
  <c r="B10" i="1"/>
  <c r="B11" i="1" s="1"/>
  <c r="B9" i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B13" i="1" l="1" a="1"/>
  <c r="B13" i="1" s="1"/>
  <c r="B14" i="1" s="1"/>
  <c r="B15" i="1" s="1"/>
  <c r="B1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tc={0E5D89C7-FD7B-4F06-AFD0-76FF5CFFFDBD}</author>
  </authors>
  <commentList>
    <comment ref="B5" authorId="0" shapeId="0" xr:uid="{0E5D89C7-FD7B-4F06-AFD0-76FF5CFFFDBD}">
      <text>
        <t>[Threaded comment]
Your version of Excel allows you to read this threaded comment; however, any edits to it will get removed if the file is opened in a newer version of Excel. Learn more: https://go.microsoft.com/fwlink/?linkid=870924
Comment:
    Source: TEC 10 au 23/02/2026 via Agence France Trésor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<sst xmlns="http://schemas.openxmlformats.org/spreadsheetml/2006/main" count="17" uniqueCount="17">
  <si>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FV</t>
  </si>
  <si>
    <t>Variation du YTM</t>
  </si>
  <si>
    <t>Bond price</t>
  </si>
  <si>
    <t>Duration</t>
  </si>
  <si>
    <t>Modified Duration</t>
  </si>
  <si>
    <t>Approx YTM</t>
  </si>
  <si>
    <t>Convexity</t>
  </si>
  <si>
    <t>Variation du Bond</t>
  </si>
  <si>
    <t>YTM (TEC 10)</t>
  </si>
  <si>
    <t>Inputs / Assumptions</t>
  </si>
  <si>
    <t>Calculations / Engine</t>
  </si>
  <si>
    <t>Output / Dashboard</t>
  </si>
  <si>
    <t>Coupon rate</t>
  </si>
  <si>
    <t>Frequency per year</t>
  </si>
  <si>
    <t xml:space="preserve">Final price </t>
  </si>
  <si>
    <t>Data_Sources</t>
  </si>
  <si>
    <t>T (in 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</si>
</sst>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€-2]\ * #,##0.00_-;\-[$€-2]\ * #,##0.00_-;_-[$€-2]\ * &quot;-&quot;??_-;_-@_-"/>
    <numFmt numFmtId="165" formatCode=";;;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3" fillId="4" borderId="1" xfId="0" applyFont="1" applyFill="1" applyBorder="1" applyAlignment="1">
      <alignment horizontal="center"/>
    </xf>
    <xf numFmtId="165" fontId="0" fillId="4" borderId="1" xfId="0" applyNumberFormat="1" applyFill="1" applyBorder="1"/>
    <xf numFmtId="10" fontId="0" fillId="4" borderId="1" xfId="0" applyNumberFormat="1" applyFill="1" applyBorder="1"/>
    <xf numFmtId="164" fontId="0" fillId="4" borderId="1" xfId="0" applyNumberFormat="1" applyFill="1" applyBorder="1"/>
    <xf numFmtId="10" fontId="0" fillId="2" borderId="1" xfId="0" applyNumberFormat="1" applyFill="1" applyBorder="1"/>
    <xf numFmtId="10" fontId="0" fillId="3" borderId="1" xfId="0" applyNumberFormat="1" applyFill="1" applyBorder="1"/>
    <xf numFmtId="0" fontId="2" fillId="5" borderId="1" xfId="0" applyFont="1" applyFill="1" applyBorder="1"/>
    <xf numFmtId="0" fontId="0" fillId="5" borderId="1" xfId="0" applyFill="1" applyBorder="1"/>
    <xf numFmtId="164" fontId="0" fillId="5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right"/>
    </xf>
    <xf numFmtId="2" fontId="0" fillId="3" borderId="1" xfId="0" applyNumberFormat="1" applyFill="1" applyBorder="1"/>
    <xf numFmtId="2" fontId="0" fillId="3" borderId="1" xfId="0" applyNumberFormat="1" applyFill="1" applyBorder="1" applyAlignment="1">
      <alignment horizontal="left" indent="8"/>
    </xf>
    <xf numFmtId="10" fontId="0" fillId="5" borderId="1" xfId="1" applyNumberFormat="1" applyFont="1" applyFill="1" applyBorder="1" applyAlignment="1">
      <alignment horizontal="right"/>
    </xf>
    <xf numFmtId="10" fontId="0" fillId="3" borderId="1" xfId="1" applyNumberFormat="1" applyFont="1" applyFill="1" applyBorder="1"/>
    <xf numFmtId="2" fontId="0" fillId="5" borderId="1" xfId="0" applyNumberFormat="1" applyFill="1" applyBorder="1"/>
    <xf numFmtId="164" fontId="0" fillId="5" borderId="1" xfId="0" applyNumberFormat="1" applyFill="1" applyBorder="1" applyAlignment="1">
      <alignment horizontal="left"/>
    </xf>
    <xf numFmtId="164" fontId="0" fillId="3" borderId="1" xfId="0" applyNumberFormat="1" applyFill="1" applyBorder="1" applyAlignment="1">
      <alignment horizontal="left"/>
    </xf>
    <xf numFmtId="164" fontId="0" fillId="5" borderId="1" xfId="0" applyNumberFormat="1" applyFill="1" applyBorder="1"/>
    <xf numFmtId="164" fontId="0" fillId="3" borderId="0" xfId="0" applyNumberFormat="1" applyFill="1"/>
    <xf numFmtId="0" fontId="0" fillId="5" borderId="0" xfId="0" applyFill="1"/>
    <xf numFmtId="0" fontId="4" fillId="0" borderId="0" xfId="2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2" fillId="4" borderId="1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 cent" xfId="1" builtinId="5"/>
  </cellStyles>
  <dxfs count="0"/>
  <tableStyles count="1" defaultTableStyle="TableStyleMedium2" defaultPivotStyle="PivotStyleLight16">
    <tableStyle name="Invisible" pivot="0" table="0" count="0" xr9:uid="{175A4987-A601-4BF9-AA3D-5B75DDA3F41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VS YTM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'Bond price variation'!$E$1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'Bond price variation'!$D$2:$D$15</c:f>
              <c:numCache>
                <c:formatCode>0.00%</c:formatCode>
                <c:ptCount val="14"/>
                <c:pt idx="1">
                  <c:v>4.3400000000000001E-2</c:v>
                </c:pt>
                <c:pt idx="2">
                  <c:v>5.3400000000000003E-2</c:v>
                </c:pt>
                <c:pt idx="3">
                  <c:v>6.3399999999999998E-2</c:v>
                </c:pt>
                <c:pt idx="4">
                  <c:v>7.3399999999999993E-2</c:v>
                </c:pt>
                <c:pt idx="5">
                  <c:v>8.3399999999999988E-2</c:v>
                </c:pt>
                <c:pt idx="6">
                  <c:v>9.3399999999999983E-2</c:v>
                </c:pt>
                <c:pt idx="7">
                  <c:v>0.10339999999999998</c:v>
                </c:pt>
                <c:pt idx="8">
                  <c:v>0.11339999999999997</c:v>
                </c:pt>
                <c:pt idx="9">
                  <c:v>0.12339999999999997</c:v>
                </c:pt>
                <c:pt idx="10">
                  <c:v>0.13339999999999996</c:v>
                </c:pt>
                <c:pt idx="11">
                  <c:v>0.14339999999999997</c:v>
                </c:pt>
                <c:pt idx="12">
                  <c:v>0.15339999999999998</c:v>
                </c:pt>
                <c:pt idx="13">
                  <c:v>0.16339999999999999</c:v>
                </c:pt>
              </c:numCache>
            </c:numRef>
          </c:xVal>
          <c:yVal>
            <c:numRef>
              <c:f>'Bond price variation'!$E$2:$E$15</c:f>
              <c:numCache>
                <c:formatCode>_-[$€-2]\ * #,##0.00_-;\-[$€-2]\ * #,##0.00_-;_-[$€-2]\ * "-"??_-;_-@_-</c:formatCode>
                <c:ptCount val="14"/>
                <c:pt idx="0" formatCode=";;;">
                  <c:v>2205.1736653317453</c:v>
                </c:pt>
                <c:pt idx="1">
                  <c:v>2087.4805336401978</c:v>
                </c:pt>
                <c:pt idx="2">
                  <c:v>1874.0685706066261</c:v>
                </c:pt>
                <c:pt idx="3">
                  <c:v>1601.3282048272101</c:v>
                </c:pt>
                <c:pt idx="4">
                  <c:v>1308.8624501096401</c:v>
                </c:pt>
                <c:pt idx="5">
                  <c:v>1029.7190649333941</c:v>
                </c:pt>
                <c:pt idx="6">
                  <c:v>785.25980292593636</c:v>
                </c:pt>
                <c:pt idx="7">
                  <c:v>584.89016448733776</c:v>
                </c:pt>
                <c:pt idx="8">
                  <c:v>428.8672073868056</c:v>
                </c:pt>
                <c:pt idx="9">
                  <c:v>312.03399079677638</c:v>
                </c:pt>
                <c:pt idx="10">
                  <c:v>227.02207594244473</c:v>
                </c:pt>
                <c:pt idx="11">
                  <c:v>166.36481750542308</c:v>
                </c:pt>
                <c:pt idx="12">
                  <c:v>123.57959826328617</c:v>
                </c:pt>
                <c:pt idx="13">
                  <c:v>93.527716398470758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1-4FD3-9481-AA213E2F2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85408"/>
        <c:axId val="2134186848"/>
      </c:scatterChart>
      <c:valAx>
        <c:axId val="213418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YTM</a:t>
                </a:r>
                <a:r>
                  <a:rPr lang="en-GB" baseline="0"/>
                  <a:t> /  Market rates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86848"/>
        <c:crosses val="autoZero"/>
        <c:crossBetween val="midCat"/>
      </c:valAx>
      <c:valAx>
        <c:axId val="21341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  <a:headEnd type="none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Bond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;;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85408"/>
        <c:crossesAt val="10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2371</xdr:colOff>
      <xdr:row>0</xdr:row>
      <xdr:rowOff>0</xdr:rowOff>
    </xdr:from>
    <xdr:to>
      <xdr:col>12</xdr:col>
      <xdr:colOff>40471</xdr:colOff>
      <xdr:row>15</xdr:row>
      <xdr:rowOff>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984EFF-F41A-45DB-94EA-5CA0490478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DOYAL Lucky" id="{F7114588-239C-40CF-B1AD-A913763B1097}" userId="S::lucky.ramdoyal@ipag.fr::cc03dec2-7565-4ecf-9a6b-96596592b7b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6-02-23T20:01:54.56" personId="{F7114588-239C-40CF-B1AD-A913763B1097}" id="{0E5D89C7-FD7B-4F06-AFD0-76FF5CFFFDBD}">
    <text>Source: TEC 10 au 23/02/2026 via Agence France Trésor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0686C-C1B0-49A0-8FD0-A31320B5B90C}">
  <sheetPr codeName="Sheet1"/>
  <dimension ref="A1:E18"/>
  <sheetViews>
    <sheetView showGridLines="0" tabSelected="1" zoomScale="102" workbookViewId="0">
      <selection activeCell="H21" sqref="H21"/>
    </sheetView>
  </sheetViews>
  <sheetFormatPr defaultRowHeight="14.25" x14ac:dyDescent="0.45"/>
  <cols>
    <col min="1" max="1" width="17.796875" bestFit="1" customWidth="1"/>
    <col min="2" max="2" width="14.19921875" bestFit="1" customWidth="1"/>
    <col min="3" max="3" width="5.73046875" customWidth="1"/>
    <col min="5" max="5" width="13.9296875" bestFit="1" customWidth="1"/>
    <col min="13" max="13" width="11.6640625" bestFit="1" customWidth="1"/>
  </cols>
  <sheetData>
    <row r="1" spans="1:5" x14ac:dyDescent="0.45">
      <c r="A1" s="1" t="s">
        <v>9</v>
      </c>
      <c r="B1" s="2"/>
      <c r="C1" s="3"/>
      <c r="D1" s="28" t="s">
        <v>11</v>
      </c>
      <c r="E1" s="28"/>
    </row>
    <row r="2" spans="1:5" x14ac:dyDescent="0.45">
      <c r="A2" s="2" t="s">
        <v>0</v>
      </c>
      <c r="B2" s="4">
        <v>2375.6999999999998</v>
      </c>
      <c r="C2" s="5"/>
      <c r="D2" s="6"/>
      <c r="E2" s="7">
        <f>B9</f>
        <v>2205.1736653317453</v>
      </c>
    </row>
    <row r="3" spans="1:5" x14ac:dyDescent="0.45">
      <c r="A3" s="2" t="s">
        <v>16</v>
      </c>
      <c r="B3" s="2">
        <v>6</v>
      </c>
      <c r="C3" s="3"/>
      <c r="D3" s="8">
        <f>B5+1%</f>
        <v>4.3400000000000001E-2</v>
      </c>
      <c r="E3" s="9">
        <f t="dataTable" ref="E3:E15" dt2D="0" dtr="0" r1="B5" ca="1"/>
        <v>2087.4805336401978</v>
      </c>
    </row>
    <row r="4" spans="1:5" x14ac:dyDescent="0.45">
      <c r="A4" s="2" t="s">
        <v>12</v>
      </c>
      <c r="B4" s="10">
        <v>0.02</v>
      </c>
      <c r="C4" s="11"/>
      <c r="D4" s="8">
        <f>D3+0.01</f>
        <v>5.3400000000000003E-2</v>
      </c>
      <c r="E4" s="9">
        <v>1874.0685706066261</v>
      </c>
    </row>
    <row r="5" spans="1:5" x14ac:dyDescent="0.45">
      <c r="A5" s="2" t="s">
        <v>8</v>
      </c>
      <c r="B5" s="10">
        <v>3.3399999999999999E-2</v>
      </c>
      <c r="C5" s="11"/>
      <c r="D5" s="8">
        <f t="shared" ref="D5:D15" si="0">D4+0.01</f>
        <v>6.3399999999999998E-2</v>
      </c>
      <c r="E5" s="9">
        <v>1601.3282048272101</v>
      </c>
    </row>
    <row r="6" spans="1:5" x14ac:dyDescent="0.45">
      <c r="A6" s="2" t="s">
        <v>1</v>
      </c>
      <c r="B6" s="10">
        <v>-2.5000000000000001E-3</v>
      </c>
      <c r="C6" s="11"/>
      <c r="D6" s="8">
        <f t="shared" si="0"/>
        <v>7.3399999999999993E-2</v>
      </c>
      <c r="E6" s="9">
        <v>1308.8624501096401</v>
      </c>
    </row>
    <row r="7" spans="1:5" x14ac:dyDescent="0.45">
      <c r="A7" s="2" t="s">
        <v>13</v>
      </c>
      <c r="B7" s="2">
        <v>1</v>
      </c>
      <c r="C7" s="3"/>
      <c r="D7" s="8">
        <f t="shared" si="0"/>
        <v>8.3399999999999988E-2</v>
      </c>
      <c r="E7" s="9">
        <v>1029.7190649333941</v>
      </c>
    </row>
    <row r="8" spans="1:5" x14ac:dyDescent="0.45">
      <c r="A8" s="12" t="s">
        <v>10</v>
      </c>
      <c r="B8" s="13"/>
      <c r="C8" s="3"/>
      <c r="D8" s="8">
        <f t="shared" si="0"/>
        <v>9.3399999999999983E-2</v>
      </c>
      <c r="E8" s="9">
        <v>785.25980292593636</v>
      </c>
    </row>
    <row r="9" spans="1:5" x14ac:dyDescent="0.45">
      <c r="A9" s="13" t="s">
        <v>2</v>
      </c>
      <c r="B9" s="14">
        <f>-PV(B5/B7,B3*B7,(B2*B4)/B7,B2)</f>
        <v>2205.1736653317453</v>
      </c>
      <c r="C9" s="5"/>
      <c r="D9" s="8">
        <f t="shared" si="0"/>
        <v>0.10339999999999998</v>
      </c>
      <c r="E9" s="9">
        <v>584.89016448733776</v>
      </c>
    </row>
    <row r="10" spans="1:5" x14ac:dyDescent="0.45">
      <c r="A10" s="13" t="s">
        <v>3</v>
      </c>
      <c r="B10" s="15">
        <f>DURATION(DATE(2000,1,1),DATE(2000+B3,1,1),B4,B5,B7)</f>
        <v>5.700402192223927</v>
      </c>
      <c r="C10" s="16"/>
      <c r="D10" s="8">
        <f t="shared" si="0"/>
        <v>0.11339999999999997</v>
      </c>
      <c r="E10" s="9">
        <v>428.8672073868056</v>
      </c>
    </row>
    <row r="11" spans="1:5" x14ac:dyDescent="0.45">
      <c r="A11" s="13" t="s">
        <v>4</v>
      </c>
      <c r="B11" s="15">
        <f>B10/(1+B5)</f>
        <v>5.5161623690961159</v>
      </c>
      <c r="C11" s="17"/>
      <c r="D11" s="8">
        <f t="shared" si="0"/>
        <v>0.12339999999999997</v>
      </c>
      <c r="E11" s="9">
        <v>312.03399079677638</v>
      </c>
    </row>
    <row r="12" spans="1:5" x14ac:dyDescent="0.45">
      <c r="A12" s="13" t="s">
        <v>5</v>
      </c>
      <c r="B12" s="18">
        <f>((B2*B4)/B7+(B2-B9)/(B3*B7))/((B2+B9)/2)</f>
        <v>3.3153088832255866E-2</v>
      </c>
      <c r="C12" s="19"/>
      <c r="D12" s="8">
        <f t="shared" si="0"/>
        <v>0.13339999999999996</v>
      </c>
      <c r="E12" s="9">
        <v>227.02207594244473</v>
      </c>
    </row>
    <row r="13" spans="1:5" x14ac:dyDescent="0.45">
      <c r="A13" s="13" t="s">
        <v>6</v>
      </c>
      <c r="B13" s="20" cm="1">
        <f t="array" ref="B13">(SUM(((B2*B4)/B7*(_xlfn.SEQUENCE(B3*B7)^2+_xlfn.SEQUENCE(B3*B7)))/(1+B5/B7)^_xlfn.SEQUENCE(B3*B7))+(B2*((B3*B7)^2+(B3*B7)))/(1+B5/B7)^(B3*B7))/(B9*(1+B5/B7)^2*B7^2)</f>
        <v>36.724699294429236</v>
      </c>
      <c r="C13" s="16"/>
      <c r="D13" s="8">
        <f t="shared" si="0"/>
        <v>0.14339999999999997</v>
      </c>
      <c r="E13" s="9">
        <v>166.36481750542308</v>
      </c>
    </row>
    <row r="14" spans="1:5" x14ac:dyDescent="0.45">
      <c r="A14" s="13" t="s">
        <v>14</v>
      </c>
      <c r="B14" s="21">
        <f>B9*(1-B11*B6+0.5*B13*B6^2)</f>
        <v>2235.8369813685299</v>
      </c>
      <c r="C14" s="22"/>
      <c r="D14" s="8">
        <f t="shared" si="0"/>
        <v>0.15339999999999998</v>
      </c>
      <c r="E14" s="9">
        <v>123.57959826328617</v>
      </c>
    </row>
    <row r="15" spans="1:5" x14ac:dyDescent="0.45">
      <c r="A15" s="13" t="s">
        <v>7</v>
      </c>
      <c r="B15" s="23">
        <f>B14-B9</f>
        <v>30.663316036784636</v>
      </c>
      <c r="C15" s="24"/>
      <c r="D15" s="8">
        <f t="shared" si="0"/>
        <v>0.16339999999999999</v>
      </c>
      <c r="E15" s="9">
        <v>93.527716398470758</v>
      </c>
    </row>
    <row r="17" spans="1:2" x14ac:dyDescent="0.45">
      <c r="A17" s="25" t="s">
        <v>15</v>
      </c>
    </row>
    <row r="18" spans="1:2" x14ac:dyDescent="0.45">
      <c r="A18" s="26" t="str">
        <f>HYPERLINK("https://www.aft.gouv.fr/fr/publications/communiques-presse/20260219-emission-oat", "AFT - Adjudication OAT 19/02/2026")</f>
        <v>AFT - Adjudication OAT 19/02/2026</v>
      </c>
      <c r="B18" s="27"/>
    </row>
  </sheetData>
  <mergeCells count="1">
    <mergeCell ref="D1:E1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afa5818-2816-4474-8510-0976011a817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85CE4CC255CD4093A63FACA0FD3C17" ma:contentTypeVersion="10" ma:contentTypeDescription="Crée un document." ma:contentTypeScope="" ma:versionID="86a2775ee5a317b97013345dbb8e6c56">
  <xsd:schema xmlns:xsd="http://www.w3.org/2001/XMLSchema" xmlns:xs="http://www.w3.org/2001/XMLSchema" xmlns:p="http://schemas.microsoft.com/office/2006/metadata/properties" xmlns:ns3="4afa5818-2816-4474-8510-0976011a8174" targetNamespace="http://schemas.microsoft.com/office/2006/metadata/properties" ma:root="true" ma:fieldsID="8a3a53f0b14ada18f284a07a4919d695" ns3:_="">
    <xsd:import namespace="4afa5818-2816-4474-8510-0976011a817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a5818-2816-4474-8510-0976011a817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762BED-8BF6-41F2-B49E-D69C8CC96EAF}">
  <ds:schemaRefs>
    <ds:schemaRef ds:uri="http://schemas.microsoft.com/office/2006/metadata/properties"/>
    <ds:schemaRef ds:uri="http://schemas.microsoft.com/office/2006/documentManagement/types"/>
    <ds:schemaRef ds:uri="4afa5818-2816-4474-8510-0976011a817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9C13712-ABB5-49ED-8970-BEA2F2871B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C0E051-FEFA-42A8-8D1F-02513BB68B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a5818-2816-4474-8510-0976011a81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 price variation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RAMDOYAL Lucky</dc:creator>
  <cp:lastModifiedBy>Lucky RAMDOYAL</cp:lastModifiedBy>
  <dcterms:created xsi:type="dcterms:W3CDTF">2026-02-23T19:25:41Z</dcterms:created>
  <dcterms:modified xsi:type="dcterms:W3CDTF">2026-02-23T21:53:54Z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0x0101006A85CE4CC255CD4093A63FACA0FD3C17</vt:lpwstr>
  </property>
</Properties>
</file>